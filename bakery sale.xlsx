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RINCE OF TECH\Desktop\DATA ANALYSIS\"/>
    </mc:Choice>
  </mc:AlternateContent>
  <xr:revisionPtr revIDLastSave="0" documentId="13_ncr:1_{F9102388-5023-4CC9-9885-99E6FD6C75DD}" xr6:coauthVersionLast="47" xr6:coauthVersionMax="47" xr10:uidLastSave="{00000000-0000-0000-0000-000000000000}"/>
  <bookViews>
    <workbookView xWindow="-120" yWindow="-120" windowWidth="24240" windowHeight="13740" xr2:uid="{00000000-000D-0000-FFFF-FFFF00000000}"/>
  </bookViews>
  <sheets>
    <sheet name="DASHBOARD" sheetId="10" r:id="rId1"/>
    <sheet name="PIVOT TABLE" sheetId="9" r:id="rId2"/>
    <sheet name="BAKERY SALE" sheetId="1" r:id="rId3"/>
  </sheets>
  <definedNames>
    <definedName name="_xlnm._FilterDatabase" localSheetId="2" hidden="1">'BAKERY SALE'!$A$1:$J$31</definedName>
    <definedName name="Slicer_Product">#N/A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2" i="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alcChain>
</file>

<file path=xl/sharedStrings.xml><?xml version="1.0" encoding="utf-8"?>
<sst xmlns="http://schemas.openxmlformats.org/spreadsheetml/2006/main" count="158" uniqueCount="36">
  <si>
    <t>Date</t>
  </si>
  <si>
    <t>Product</t>
  </si>
  <si>
    <t>Quantity</t>
  </si>
  <si>
    <t>Price</t>
  </si>
  <si>
    <t>Payment Method</t>
  </si>
  <si>
    <t>Customer Type</t>
  </si>
  <si>
    <t>Total</t>
  </si>
  <si>
    <t>Bread</t>
  </si>
  <si>
    <t>Cake</t>
  </si>
  <si>
    <t>Cookies</t>
  </si>
  <si>
    <t>Cash</t>
  </si>
  <si>
    <t>Card</t>
  </si>
  <si>
    <t>Transfer</t>
  </si>
  <si>
    <t>New</t>
  </si>
  <si>
    <t>Returning</t>
  </si>
  <si>
    <t>Row Labels</t>
  </si>
  <si>
    <t>Grand Total</t>
  </si>
  <si>
    <t>Sum of Price</t>
  </si>
  <si>
    <t>Sum of Quantity</t>
  </si>
  <si>
    <t>Day</t>
  </si>
  <si>
    <t>Column Labels</t>
  </si>
  <si>
    <t>Sum of Total</t>
  </si>
  <si>
    <t>Sunday</t>
  </si>
  <si>
    <t>Week</t>
  </si>
  <si>
    <t>Saturday</t>
  </si>
  <si>
    <t>Monday</t>
  </si>
  <si>
    <t>Tuesday</t>
  </si>
  <si>
    <t>Wednesday</t>
  </si>
  <si>
    <t>Thursday</t>
  </si>
  <si>
    <t>Friday</t>
  </si>
  <si>
    <t>W1</t>
  </si>
  <si>
    <t>W2</t>
  </si>
  <si>
    <t>W3</t>
  </si>
  <si>
    <t>W4</t>
  </si>
  <si>
    <t>Average of Total</t>
  </si>
  <si>
    <t>W5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</si>
</sst>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Fill="1"/>
    <xf numFmtId="164" fontId="0" fillId="0" borderId="0" xfId="0" applyNumberFormat="1" applyFill="1"/>
    <xf numFmtId="14" fontId="0" fillId="0" borderId="0" xfId="0" applyNumberFormat="1" applyFill="1"/>
    <xf numFmtId="164" fontId="1" fillId="0" borderId="1" xfId="0" applyNumberFormat="1" applyFont="1" applyFill="1" applyBorder="1" applyAlignment="1">
      <alignment horizontal="center" vertical="top"/>
    </xf>
    <xf numFmtId="14" fontId="1" fillId="0" borderId="1" xfId="0" applyNumberFormat="1" applyFont="1" applyFill="1" applyBorder="1" applyAlignment="1">
      <alignment horizontal="center" vertical="top"/>
    </xf>
    <xf numFmtId="0" fontId="1" fillId="0" borderId="1" xfId="0" applyFont="1" applyFill="1" applyBorder="1" applyAlignment="1">
      <alignment horizontal="center" vertical="top"/>
    </xf>
  </cellXfs>
  <cellStyles count="1">
    <cellStyle name="Normal" xfId="0" builtinId="0"/>
  </cellStyles>
  <dxfs count="13">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d/mm/yyyy"/>
      <fill>
        <patternFill patternType="none">
          <fgColor indexed="64"/>
          <bgColor indexed="65"/>
        </patternFill>
      </fill>
    </dxf>
    <dxf>
      <numFmt numFmtId="19" formatCode="dd/mm/yyyy"/>
      <fill>
        <patternFill patternType="none">
          <fgColor indexed="64"/>
          <bgColor indexed="65"/>
        </patternFill>
      </fill>
    </dxf>
    <dxf>
      <numFmt numFmtId="164" formatCode="[$-F800]dddd\,\ mmmm\ dd\,\ yyyy"/>
      <fill>
        <patternFill patternType="none">
          <fgColor indexed="64"/>
          <bgColor indexed="65"/>
        </patternFill>
      </fill>
    </dxf>
    <dxf>
      <border outline="0">
        <bottom style="thin">
          <color auto="1"/>
        </bottom>
      </border>
    </dxf>
    <dxf>
      <border outline="0">
        <top style="thin">
          <color auto="1"/>
        </top>
      </border>
    </dxf>
  </dxfs>
  <tableStyles count="0" defaultTableStyle="TableStyleMedium9"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TABLE!PivotTable13</c:name>
    <c:fmtId val="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GB" sz="1600" b="1">
                <a:solidFill>
                  <a:sysClr val="windowText" lastClr="000000"/>
                </a:solidFill>
              </a:rPr>
              <a:t>Sum of Total by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Bread</c:v>
                </c:pt>
                <c:pt idx="1">
                  <c:v>Cake</c:v>
                </c:pt>
                <c:pt idx="2">
                  <c:v>Cookies</c:v>
                </c:pt>
              </c:strCache>
            </c:strRef>
          </c:cat>
          <c:val>
            <c:numRef>
              <c:f>'PIVOT TABLE'!$B$4:$B$7</c:f>
              <c:numCache>
                <c:formatCode>General</c:formatCode>
                <c:ptCount val="3"/>
                <c:pt idx="0">
                  <c:v>465</c:v>
                </c:pt>
                <c:pt idx="1">
                  <c:v>930</c:v>
                </c:pt>
                <c:pt idx="2">
                  <c:v>558</c:v>
                </c:pt>
              </c:numCache>
            </c:numRef>
          </c:val>
          <c:extLst>
            <c:ext xmlns:c16="http://schemas.microsoft.com/office/drawing/2014/chart" uri="{C3380CC4-5D6E-409C-BE32-E72D297353CC}">
              <c16:uniqueId val="{00000000-9DC6-4581-8D17-0F09BE50E906}"/>
            </c:ext>
          </c:extLst>
        </c:ser>
        <c:dLbls>
          <c:dLblPos val="outEnd"/>
          <c:showLegendKey val="0"/>
          <c:showVal val="1"/>
          <c:showCatName val="0"/>
          <c:showSerName val="0"/>
          <c:showPercent val="0"/>
          <c:showBubbleSize val="0"/>
        </c:dLbls>
        <c:gapWidth val="219"/>
        <c:overlap val="-27"/>
        <c:axId val="357989128"/>
        <c:axId val="357987952"/>
      </c:barChart>
      <c:catAx>
        <c:axId val="357989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57987952"/>
        <c:crosses val="autoZero"/>
        <c:auto val="1"/>
        <c:lblAlgn val="ctr"/>
        <c:lblOffset val="100"/>
        <c:noMultiLvlLbl val="0"/>
      </c:catAx>
      <c:valAx>
        <c:axId val="357987952"/>
        <c:scaling>
          <c:orientation val="minMax"/>
        </c:scaling>
        <c:delete val="1"/>
        <c:axPos val="l"/>
        <c:numFmt formatCode="General" sourceLinked="1"/>
        <c:majorTickMark val="out"/>
        <c:minorTickMark val="none"/>
        <c:tickLblPos val="nextTo"/>
        <c:crossAx val="357989128"/>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TABLE!PivotTable14</c:name>
    <c:fmtId val="6"/>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GB" sz="1600" b="1">
                <a:solidFill>
                  <a:sysClr val="windowText" lastClr="000000"/>
                </a:solidFill>
              </a:rPr>
              <a:t>Sum of Quantity and Price by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Sum of Quantity</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Bread</c:v>
                </c:pt>
                <c:pt idx="1">
                  <c:v>Cake</c:v>
                </c:pt>
                <c:pt idx="2">
                  <c:v>Cookies</c:v>
                </c:pt>
              </c:strCache>
            </c:strRef>
          </c:cat>
          <c:val>
            <c:numRef>
              <c:f>'PIVOT TABLE'!$B$15:$B$18</c:f>
              <c:numCache>
                <c:formatCode>General</c:formatCode>
                <c:ptCount val="3"/>
                <c:pt idx="0">
                  <c:v>186</c:v>
                </c:pt>
                <c:pt idx="1">
                  <c:v>186</c:v>
                </c:pt>
                <c:pt idx="2">
                  <c:v>186</c:v>
                </c:pt>
              </c:numCache>
            </c:numRef>
          </c:val>
          <c:extLst>
            <c:ext xmlns:c16="http://schemas.microsoft.com/office/drawing/2014/chart" uri="{C3380CC4-5D6E-409C-BE32-E72D297353CC}">
              <c16:uniqueId val="{00000000-FD15-4729-BEBF-DF187584EDAB}"/>
            </c:ext>
          </c:extLst>
        </c:ser>
        <c:ser>
          <c:idx val="1"/>
          <c:order val="1"/>
          <c:tx>
            <c:strRef>
              <c:f>'PIVOT TABLE'!$C$14</c:f>
              <c:strCache>
                <c:ptCount val="1"/>
                <c:pt idx="0">
                  <c:v>Sum of Price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Bread</c:v>
                </c:pt>
                <c:pt idx="1">
                  <c:v>Cake</c:v>
                </c:pt>
                <c:pt idx="2">
                  <c:v>Cookies</c:v>
                </c:pt>
              </c:strCache>
            </c:strRef>
          </c:cat>
          <c:val>
            <c:numRef>
              <c:f>'PIVOT TABLE'!$C$15:$C$18</c:f>
              <c:numCache>
                <c:formatCode>General</c:formatCode>
                <c:ptCount val="3"/>
                <c:pt idx="0">
                  <c:v>25</c:v>
                </c:pt>
                <c:pt idx="1">
                  <c:v>50</c:v>
                </c:pt>
                <c:pt idx="2">
                  <c:v>30</c:v>
                </c:pt>
              </c:numCache>
            </c:numRef>
          </c:val>
          <c:extLst>
            <c:ext xmlns:c16="http://schemas.microsoft.com/office/drawing/2014/chart" uri="{C3380CC4-5D6E-409C-BE32-E72D297353CC}">
              <c16:uniqueId val="{00000001-FD15-4729-BEBF-DF187584EDAB}"/>
            </c:ext>
          </c:extLst>
        </c:ser>
        <c:dLbls>
          <c:dLblPos val="outEnd"/>
          <c:showLegendKey val="0"/>
          <c:showVal val="1"/>
          <c:showCatName val="0"/>
          <c:showSerName val="0"/>
          <c:showPercent val="0"/>
          <c:showBubbleSize val="0"/>
        </c:dLbls>
        <c:gapWidth val="182"/>
        <c:axId val="357991088"/>
        <c:axId val="357990304"/>
      </c:barChart>
      <c:catAx>
        <c:axId val="3579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57990304"/>
        <c:crosses val="autoZero"/>
        <c:auto val="1"/>
        <c:lblAlgn val="ctr"/>
        <c:lblOffset val="100"/>
        <c:noMultiLvlLbl val="0"/>
      </c:catAx>
      <c:valAx>
        <c:axId val="357990304"/>
        <c:scaling>
          <c:orientation val="minMax"/>
        </c:scaling>
        <c:delete val="1"/>
        <c:axPos val="b"/>
        <c:numFmt formatCode="General" sourceLinked="1"/>
        <c:majorTickMark val="none"/>
        <c:minorTickMark val="none"/>
        <c:tickLblPos val="nextTo"/>
        <c:crossAx val="357991088"/>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TABLE!PivotTable15</c:name>
    <c:fmtId val="10"/>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b="1">
                <a:solidFill>
                  <a:sysClr val="windowText" lastClr="000000"/>
                </a:solidFill>
              </a:rPr>
              <a:t>Sum</a:t>
            </a:r>
            <a:r>
              <a:rPr lang="en-US" sz="1600" b="1" baseline="0">
                <a:solidFill>
                  <a:sysClr val="windowText" lastClr="000000"/>
                </a:solidFill>
              </a:rPr>
              <a:t> of Total by Week</a:t>
            </a:r>
            <a:endParaRPr lang="en-US" sz="1600" b="1">
              <a:solidFill>
                <a:sysClr val="windowText" lastClr="000000"/>
              </a:solidFill>
            </a:endParaRPr>
          </a:p>
        </c:rich>
      </c:tx>
      <c:layout>
        <c:manualLayout>
          <c:xMode val="edge"/>
          <c:yMode val="edge"/>
          <c:x val="0.38626841447872173"/>
          <c:y val="7.787339922643421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sq">
            <a:solidFill>
              <a:schemeClr val="accent6">
                <a:lumMod val="50000"/>
              </a:schemeClr>
            </a:solidFill>
            <a:bevel/>
          </a:ln>
          <a:effectLst/>
        </c:spPr>
        <c:marker>
          <c:symbol val="circle"/>
          <c:size val="5"/>
          <c:spPr>
            <a:solidFill>
              <a:schemeClr val="accent6">
                <a:lumMod val="75000"/>
              </a:schemeClr>
            </a:solidFill>
            <a:ln w="9525">
              <a:solidFill>
                <a:schemeClr val="accent6">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7512754138948E-2"/>
          <c:y val="0.343130328416553"/>
          <c:w val="0.86180253236610638"/>
          <c:h val="0.36600127769496421"/>
        </c:manualLayout>
      </c:layout>
      <c:lineChart>
        <c:grouping val="standard"/>
        <c:varyColors val="0"/>
        <c:ser>
          <c:idx val="0"/>
          <c:order val="0"/>
          <c:tx>
            <c:strRef>
              <c:f>'PIVOT TABLE'!$B$23</c:f>
              <c:strCache>
                <c:ptCount val="1"/>
                <c:pt idx="0">
                  <c:v>Total</c:v>
                </c:pt>
              </c:strCache>
            </c:strRef>
          </c:tx>
          <c:spPr>
            <a:ln w="28575" cap="sq">
              <a:solidFill>
                <a:schemeClr val="accent6">
                  <a:lumMod val="50000"/>
                </a:schemeClr>
              </a:solidFill>
              <a:bevel/>
            </a:ln>
            <a:effectLst/>
          </c:spPr>
          <c:marker>
            <c:symbol val="circle"/>
            <c:size val="5"/>
            <c:spPr>
              <a:solidFill>
                <a:schemeClr val="accent6">
                  <a:lumMod val="75000"/>
                </a:schemeClr>
              </a:solidFill>
              <a:ln w="9525">
                <a:solidFill>
                  <a:schemeClr val="accent6">
                    <a:lumMod val="20000"/>
                    <a:lumOff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W1</c:v>
                </c:pt>
                <c:pt idx="1">
                  <c:v>W2</c:v>
                </c:pt>
                <c:pt idx="2">
                  <c:v>W3</c:v>
                </c:pt>
                <c:pt idx="3">
                  <c:v>W4</c:v>
                </c:pt>
                <c:pt idx="4">
                  <c:v>W5</c:v>
                </c:pt>
              </c:strCache>
            </c:strRef>
          </c:cat>
          <c:val>
            <c:numRef>
              <c:f>'PIVOT TABLE'!$B$24:$B$29</c:f>
              <c:numCache>
                <c:formatCode>General</c:formatCode>
                <c:ptCount val="5"/>
                <c:pt idx="0">
                  <c:v>396.5</c:v>
                </c:pt>
                <c:pt idx="1">
                  <c:v>477.5</c:v>
                </c:pt>
                <c:pt idx="2">
                  <c:v>493</c:v>
                </c:pt>
                <c:pt idx="3">
                  <c:v>420</c:v>
                </c:pt>
                <c:pt idx="4">
                  <c:v>166</c:v>
                </c:pt>
              </c:numCache>
            </c:numRef>
          </c:val>
          <c:smooth val="0"/>
          <c:extLst>
            <c:ext xmlns:c16="http://schemas.microsoft.com/office/drawing/2014/chart" uri="{C3380CC4-5D6E-409C-BE32-E72D297353CC}">
              <c16:uniqueId val="{00000000-26B7-4200-A2ED-E279C878AF2D}"/>
            </c:ext>
          </c:extLst>
        </c:ser>
        <c:dLbls>
          <c:dLblPos val="t"/>
          <c:showLegendKey val="0"/>
          <c:showVal val="1"/>
          <c:showCatName val="0"/>
          <c:showSerName val="0"/>
          <c:showPercent val="0"/>
          <c:showBubbleSize val="0"/>
        </c:dLbls>
        <c:marker val="1"/>
        <c:smooth val="0"/>
        <c:axId val="357995400"/>
        <c:axId val="357987168"/>
      </c:lineChart>
      <c:catAx>
        <c:axId val="357995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57987168"/>
        <c:crosses val="autoZero"/>
        <c:auto val="1"/>
        <c:lblAlgn val="ctr"/>
        <c:lblOffset val="100"/>
        <c:noMultiLvlLbl val="0"/>
      </c:catAx>
      <c:valAx>
        <c:axId val="357987168"/>
        <c:scaling>
          <c:orientation val="minMax"/>
        </c:scaling>
        <c:delete val="1"/>
        <c:axPos val="l"/>
        <c:numFmt formatCode="General" sourceLinked="1"/>
        <c:majorTickMark val="none"/>
        <c:minorTickMark val="none"/>
        <c:tickLblPos val="nextTo"/>
        <c:crossAx val="357995400"/>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Sum of Total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6">
                <a:lumMod val="5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TABLE'!$A$34:$A$41</c:f>
              <c:strCache>
                <c:ptCount val="7"/>
                <c:pt idx="0">
                  <c:v>Monday</c:v>
                </c:pt>
                <c:pt idx="1">
                  <c:v>Tuesday</c:v>
                </c:pt>
                <c:pt idx="2">
                  <c:v>Wednesday</c:v>
                </c:pt>
                <c:pt idx="3">
                  <c:v>Thursday</c:v>
                </c:pt>
                <c:pt idx="4">
                  <c:v>Friday</c:v>
                </c:pt>
                <c:pt idx="5">
                  <c:v>Saturday</c:v>
                </c:pt>
                <c:pt idx="6">
                  <c:v>Sunday</c:v>
                </c:pt>
              </c:strCache>
            </c:strRef>
          </c:cat>
          <c:val>
            <c:numRef>
              <c:f>'PIVOT TABLE'!$B$34:$B$41</c:f>
              <c:numCache>
                <c:formatCode>General</c:formatCode>
                <c:ptCount val="7"/>
                <c:pt idx="0">
                  <c:v>325</c:v>
                </c:pt>
                <c:pt idx="1">
                  <c:v>234.5</c:v>
                </c:pt>
                <c:pt idx="2">
                  <c:v>230</c:v>
                </c:pt>
                <c:pt idx="3">
                  <c:v>291.5</c:v>
                </c:pt>
                <c:pt idx="4">
                  <c:v>295</c:v>
                </c:pt>
                <c:pt idx="5">
                  <c:v>281</c:v>
                </c:pt>
                <c:pt idx="6">
                  <c:v>296</c:v>
                </c:pt>
              </c:numCache>
            </c:numRef>
          </c:val>
          <c:smooth val="0"/>
          <c:extLst>
            <c:ext xmlns:c16="http://schemas.microsoft.com/office/drawing/2014/chart" uri="{C3380CC4-5D6E-409C-BE32-E72D297353CC}">
              <c16:uniqueId val="{00000000-2455-4949-8EB0-83BE4369295F}"/>
            </c:ext>
          </c:extLst>
        </c:ser>
        <c:dLbls>
          <c:dLblPos val="t"/>
          <c:showLegendKey val="0"/>
          <c:showVal val="1"/>
          <c:showCatName val="0"/>
          <c:showSerName val="0"/>
          <c:showPercent val="0"/>
          <c:showBubbleSize val="0"/>
        </c:dLbls>
        <c:marker val="1"/>
        <c:smooth val="0"/>
        <c:axId val="357993440"/>
        <c:axId val="357990696"/>
      </c:lineChart>
      <c:catAx>
        <c:axId val="3579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57990696"/>
        <c:crosses val="autoZero"/>
        <c:auto val="1"/>
        <c:lblAlgn val="ctr"/>
        <c:lblOffset val="100"/>
        <c:noMultiLvlLbl val="0"/>
      </c:catAx>
      <c:valAx>
        <c:axId val="357990696"/>
        <c:scaling>
          <c:orientation val="minMax"/>
        </c:scaling>
        <c:delete val="1"/>
        <c:axPos val="l"/>
        <c:numFmt formatCode="General" sourceLinked="1"/>
        <c:majorTickMark val="none"/>
        <c:minorTickMark val="none"/>
        <c:tickLblPos val="nextTo"/>
        <c:crossAx val="35799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TABLE!PivotTable21</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Product by Sum of Quantity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TABLE'!$B$66:$B$67</c:f>
              <c:strCache>
                <c:ptCount val="1"/>
                <c:pt idx="0">
                  <c:v>New</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TABLE'!$A$68:$A$71</c:f>
              <c:strCache>
                <c:ptCount val="3"/>
                <c:pt idx="0">
                  <c:v>Bread</c:v>
                </c:pt>
                <c:pt idx="1">
                  <c:v>Cake</c:v>
                </c:pt>
                <c:pt idx="2">
                  <c:v>Cookies</c:v>
                </c:pt>
              </c:strCache>
            </c:strRef>
          </c:cat>
          <c:val>
            <c:numRef>
              <c:f>'PIVOT TABLE'!$B$68:$B$71</c:f>
              <c:numCache>
                <c:formatCode>General</c:formatCode>
                <c:ptCount val="3"/>
                <c:pt idx="0">
                  <c:v>186</c:v>
                </c:pt>
              </c:numCache>
            </c:numRef>
          </c:val>
          <c:extLst>
            <c:ext xmlns:c16="http://schemas.microsoft.com/office/drawing/2014/chart" uri="{C3380CC4-5D6E-409C-BE32-E72D297353CC}">
              <c16:uniqueId val="{00000000-43E1-42DA-AFAA-1FFD3F41E4EF}"/>
            </c:ext>
          </c:extLst>
        </c:ser>
        <c:ser>
          <c:idx val="1"/>
          <c:order val="1"/>
          <c:tx>
            <c:strRef>
              <c:f>'PIVOT TABLE'!$C$66:$C$67</c:f>
              <c:strCache>
                <c:ptCount val="1"/>
                <c:pt idx="0">
                  <c:v>Returning</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TABLE'!$A$68:$A$71</c:f>
              <c:strCache>
                <c:ptCount val="3"/>
                <c:pt idx="0">
                  <c:v>Bread</c:v>
                </c:pt>
                <c:pt idx="1">
                  <c:v>Cake</c:v>
                </c:pt>
                <c:pt idx="2">
                  <c:v>Cookies</c:v>
                </c:pt>
              </c:strCache>
            </c:strRef>
          </c:cat>
          <c:val>
            <c:numRef>
              <c:f>'PIVOT TABLE'!$C$68:$C$71</c:f>
              <c:numCache>
                <c:formatCode>General</c:formatCode>
                <c:ptCount val="3"/>
                <c:pt idx="1">
                  <c:v>186</c:v>
                </c:pt>
                <c:pt idx="2">
                  <c:v>186</c:v>
                </c:pt>
              </c:numCache>
            </c:numRef>
          </c:val>
          <c:extLst>
            <c:ext xmlns:c16="http://schemas.microsoft.com/office/drawing/2014/chart" uri="{C3380CC4-5D6E-409C-BE32-E72D297353CC}">
              <c16:uniqueId val="{00000003-43E1-42DA-AFAA-1FFD3F41E4EF}"/>
            </c:ext>
          </c:extLst>
        </c:ser>
        <c:dLbls>
          <c:dLblPos val="outEnd"/>
          <c:showLegendKey val="0"/>
          <c:showVal val="1"/>
          <c:showCatName val="0"/>
          <c:showSerName val="0"/>
          <c:showPercent val="0"/>
          <c:showBubbleSize val="0"/>
        </c:dLbls>
        <c:gapWidth val="182"/>
        <c:axId val="357992264"/>
        <c:axId val="357992656"/>
      </c:barChart>
      <c:catAx>
        <c:axId val="357992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57992656"/>
        <c:crosses val="autoZero"/>
        <c:auto val="1"/>
        <c:lblAlgn val="ctr"/>
        <c:lblOffset val="100"/>
        <c:noMultiLvlLbl val="0"/>
      </c:catAx>
      <c:valAx>
        <c:axId val="357992656"/>
        <c:scaling>
          <c:orientation val="minMax"/>
        </c:scaling>
        <c:delete val="1"/>
        <c:axPos val="b"/>
        <c:numFmt formatCode="General" sourceLinked="1"/>
        <c:majorTickMark val="none"/>
        <c:minorTickMark val="none"/>
        <c:tickLblPos val="nextTo"/>
        <c:crossAx val="35799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TABLE!PivotTable19</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t>Percentage</a:t>
            </a:r>
            <a:r>
              <a:rPr lang="en-US" sz="1600" b="1" baseline="0"/>
              <a:t> of product by payment method</a:t>
            </a:r>
            <a:endParaRPr lang="en-US" sz="1600" b="1"/>
          </a:p>
        </c:rich>
      </c:tx>
      <c:layout>
        <c:manualLayout>
          <c:xMode val="edge"/>
          <c:yMode val="edge"/>
          <c:x val="0.15898426302667096"/>
          <c:y val="2.46290834490159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60000"/>
              <a:lumOff val="40000"/>
            </a:schemeClr>
          </a:solidFill>
          <a:ln w="19050">
            <a:solidFill>
              <a:schemeClr val="lt1"/>
            </a:solidFill>
          </a:ln>
          <a:effectLst/>
        </c:spPr>
        <c:dLbl>
          <c:idx val="0"/>
          <c:layout>
            <c:manualLayout>
              <c:x val="0.1013165369559445"/>
              <c:y val="0.29586164207538357"/>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0.17748844324086022"/>
              <c:y val="8.8632237087744745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schemeClr>
          </a:solidFill>
          <a:ln w="19050">
            <a:solidFill>
              <a:schemeClr val="lt1"/>
            </a:solidFill>
          </a:ln>
          <a:effectLst/>
        </c:spPr>
        <c:dLbl>
          <c:idx val="0"/>
          <c:layout>
            <c:manualLayout>
              <c:x val="-0.1502453037580247"/>
              <c:y val="-1.9976106228596132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17236706947777"/>
          <c:y val="0.17308991907171109"/>
          <c:w val="0.38959242665155625"/>
          <c:h val="0.71335148110051305"/>
        </c:manualLayout>
      </c:layout>
      <c:doughnutChart>
        <c:varyColors val="1"/>
        <c:ser>
          <c:idx val="0"/>
          <c:order val="0"/>
          <c:tx>
            <c:strRef>
              <c:f>'PIVOT TABLE'!$B$52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4E0-4943-ADBC-2B149E1846B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4E0-4943-ADBC-2B149E1846B6}"/>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4E0-4943-ADBC-2B149E1846B6}"/>
              </c:ext>
            </c:extLst>
          </c:dPt>
          <c:dLbls>
            <c:dLbl>
              <c:idx val="0"/>
              <c:layout>
                <c:manualLayout>
                  <c:x val="0.1013165369559445"/>
                  <c:y val="0.29586164207538357"/>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4E0-4943-ADBC-2B149E1846B6}"/>
                </c:ext>
              </c:extLst>
            </c:dLbl>
            <c:dLbl>
              <c:idx val="1"/>
              <c:layout>
                <c:manualLayout>
                  <c:x val="-0.17748844324086022"/>
                  <c:y val="8.863223708774474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4E0-4943-ADBC-2B149E1846B6}"/>
                </c:ext>
              </c:extLst>
            </c:dLbl>
            <c:dLbl>
              <c:idx val="2"/>
              <c:layout>
                <c:manualLayout>
                  <c:x val="-0.1502453037580247"/>
                  <c:y val="-1.997610622859613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4E0-4943-ADBC-2B149E1846B6}"/>
                </c:ext>
              </c:extLst>
            </c:dLbl>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TABLE'!$A$53:$A$56</c:f>
              <c:strCache>
                <c:ptCount val="3"/>
                <c:pt idx="0">
                  <c:v>Card</c:v>
                </c:pt>
                <c:pt idx="1">
                  <c:v>Cash</c:v>
                </c:pt>
                <c:pt idx="2">
                  <c:v>Transfer</c:v>
                </c:pt>
              </c:strCache>
            </c:strRef>
          </c:cat>
          <c:val>
            <c:numRef>
              <c:f>'PIVOT TABLE'!$B$53:$B$56</c:f>
              <c:numCache>
                <c:formatCode>General</c:formatCode>
                <c:ptCount val="3"/>
                <c:pt idx="0">
                  <c:v>930</c:v>
                </c:pt>
                <c:pt idx="1">
                  <c:v>465</c:v>
                </c:pt>
                <c:pt idx="2">
                  <c:v>558</c:v>
                </c:pt>
              </c:numCache>
            </c:numRef>
          </c:val>
          <c:extLst>
            <c:ext xmlns:c16="http://schemas.microsoft.com/office/drawing/2014/chart" uri="{C3380CC4-5D6E-409C-BE32-E72D297353CC}">
              <c16:uniqueId val="{00000006-A4E0-4943-ADBC-2B149E1846B6}"/>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TABLE!PivotTable20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600" b="1"/>
              <a:t>Percentage of Product by Customer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accent6">
                <a:lumMod val="50000"/>
              </a:schemeClr>
            </a:solidFill>
          </a:ln>
          <a:effectLst/>
        </c:spPr>
        <c:dLbl>
          <c:idx val="0"/>
          <c:layout>
            <c:manualLayout>
              <c:x val="0.16572562459068135"/>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50000"/>
            </a:schemeClr>
          </a:solidFill>
          <a:ln w="19050">
            <a:solidFill>
              <a:schemeClr val="accent6">
                <a:lumMod val="50000"/>
              </a:schemeClr>
            </a:solidFill>
          </a:ln>
          <a:effectLst/>
        </c:spPr>
        <c:dLbl>
          <c:idx val="0"/>
          <c:layout>
            <c:manualLayout>
              <c:x val="-0.17090455035914015"/>
              <c:y val="2.908537266836079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01471222707674"/>
          <c:y val="0.20285915952930267"/>
          <c:w val="0.34412024731613383"/>
          <c:h val="0.75060426551681014"/>
        </c:manualLayout>
      </c:layout>
      <c:doughnutChart>
        <c:varyColors val="1"/>
        <c:ser>
          <c:idx val="0"/>
          <c:order val="0"/>
          <c:tx>
            <c:strRef>
              <c:f>'PIVOT TABLE'!$B$60</c:f>
              <c:strCache>
                <c:ptCount val="1"/>
                <c:pt idx="0">
                  <c:v>Total</c:v>
                </c:pt>
              </c:strCache>
            </c:strRef>
          </c:tx>
          <c:spPr>
            <a:ln>
              <a:solidFill>
                <a:schemeClr val="accent6">
                  <a:lumMod val="50000"/>
                </a:schemeClr>
              </a:solidFill>
            </a:ln>
          </c:spPr>
          <c:dPt>
            <c:idx val="0"/>
            <c:bubble3D val="0"/>
            <c:explosion val="8"/>
            <c:spPr>
              <a:solidFill>
                <a:schemeClr val="accent6">
                  <a:lumMod val="75000"/>
                </a:schemeClr>
              </a:solidFill>
              <a:ln w="19050">
                <a:solidFill>
                  <a:schemeClr val="accent6">
                    <a:lumMod val="50000"/>
                  </a:schemeClr>
                </a:solidFill>
              </a:ln>
              <a:effectLst/>
            </c:spPr>
            <c:extLst>
              <c:ext xmlns:c16="http://schemas.microsoft.com/office/drawing/2014/chart" uri="{C3380CC4-5D6E-409C-BE32-E72D297353CC}">
                <c16:uniqueId val="{00000001-250F-43D6-A88F-FD9E0D7434E7}"/>
              </c:ext>
            </c:extLst>
          </c:dPt>
          <c:dPt>
            <c:idx val="1"/>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3-250F-43D6-A88F-FD9E0D7434E7}"/>
              </c:ext>
            </c:extLst>
          </c:dPt>
          <c:dLbls>
            <c:dLbl>
              <c:idx val="0"/>
              <c:layout>
                <c:manualLayout>
                  <c:x val="0.16572562459068135"/>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0F-43D6-A88F-FD9E0D7434E7}"/>
                </c:ext>
              </c:extLst>
            </c:dLbl>
            <c:dLbl>
              <c:idx val="1"/>
              <c:layout>
                <c:manualLayout>
                  <c:x val="-0.17090455035914015"/>
                  <c:y val="2.908537266836079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0F-43D6-A88F-FD9E0D7434E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TABLE'!$A$61:$A$63</c:f>
              <c:strCache>
                <c:ptCount val="2"/>
                <c:pt idx="0">
                  <c:v>New</c:v>
                </c:pt>
                <c:pt idx="1">
                  <c:v>Returning</c:v>
                </c:pt>
              </c:strCache>
            </c:strRef>
          </c:cat>
          <c:val>
            <c:numRef>
              <c:f>'PIVOT TABLE'!$B$61:$B$63</c:f>
              <c:numCache>
                <c:formatCode>General</c:formatCode>
                <c:ptCount val="2"/>
                <c:pt idx="0">
                  <c:v>465</c:v>
                </c:pt>
                <c:pt idx="1">
                  <c:v>1488</c:v>
                </c:pt>
              </c:numCache>
            </c:numRef>
          </c:val>
          <c:extLst>
            <c:ext xmlns:c16="http://schemas.microsoft.com/office/drawing/2014/chart" uri="{C3380CC4-5D6E-409C-BE32-E72D297353CC}">
              <c16:uniqueId val="{00000004-250F-43D6-A88F-FD9E0D7434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Bread</c:v>
                </c:pt>
                <c:pt idx="1">
                  <c:v>Cake</c:v>
                </c:pt>
                <c:pt idx="2">
                  <c:v>Cookies</c:v>
                </c:pt>
              </c:strCache>
            </c:strRef>
          </c:cat>
          <c:val>
            <c:numRef>
              <c:f>'PIVOT TABLE'!$B$4:$B$7</c:f>
              <c:numCache>
                <c:formatCode>General</c:formatCode>
                <c:ptCount val="3"/>
                <c:pt idx="0">
                  <c:v>465</c:v>
                </c:pt>
                <c:pt idx="1">
                  <c:v>930</c:v>
                </c:pt>
                <c:pt idx="2">
                  <c:v>558</c:v>
                </c:pt>
              </c:numCache>
            </c:numRef>
          </c:val>
          <c:extLst>
            <c:ext xmlns:c16="http://schemas.microsoft.com/office/drawing/2014/chart" uri="{C3380CC4-5D6E-409C-BE32-E72D297353CC}">
              <c16:uniqueId val="{00000000-EA37-485F-8429-95126BF9DBE5}"/>
            </c:ext>
          </c:extLst>
        </c:ser>
        <c:dLbls>
          <c:showLegendKey val="0"/>
          <c:showVal val="0"/>
          <c:showCatName val="0"/>
          <c:showSerName val="0"/>
          <c:showPercent val="0"/>
          <c:showBubbleSize val="0"/>
        </c:dLbls>
        <c:gapWidth val="219"/>
        <c:overlap val="-27"/>
        <c:axId val="358000496"/>
        <c:axId val="358000888"/>
      </c:barChart>
      <c:catAx>
        <c:axId val="35800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00888"/>
        <c:crosses val="autoZero"/>
        <c:auto val="1"/>
        <c:lblAlgn val="ctr"/>
        <c:lblOffset val="100"/>
        <c:noMultiLvlLbl val="0"/>
      </c:catAx>
      <c:valAx>
        <c:axId val="358000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Sum of Quantity</c:v>
                </c:pt>
              </c:strCache>
            </c:strRef>
          </c:tx>
          <c:spPr>
            <a:solidFill>
              <a:schemeClr val="accent1"/>
            </a:solidFill>
            <a:ln>
              <a:noFill/>
            </a:ln>
            <a:effectLst/>
          </c:spPr>
          <c:invertIfNegative val="0"/>
          <c:cat>
            <c:strRef>
              <c:f>'PIVOT TABLE'!$A$15:$A$18</c:f>
              <c:strCache>
                <c:ptCount val="3"/>
                <c:pt idx="0">
                  <c:v>Bread</c:v>
                </c:pt>
                <c:pt idx="1">
                  <c:v>Cake</c:v>
                </c:pt>
                <c:pt idx="2">
                  <c:v>Cookies</c:v>
                </c:pt>
              </c:strCache>
            </c:strRef>
          </c:cat>
          <c:val>
            <c:numRef>
              <c:f>'PIVOT TABLE'!$B$15:$B$18</c:f>
              <c:numCache>
                <c:formatCode>General</c:formatCode>
                <c:ptCount val="3"/>
                <c:pt idx="0">
                  <c:v>186</c:v>
                </c:pt>
                <c:pt idx="1">
                  <c:v>186</c:v>
                </c:pt>
                <c:pt idx="2">
                  <c:v>186</c:v>
                </c:pt>
              </c:numCache>
            </c:numRef>
          </c:val>
          <c:extLst>
            <c:ext xmlns:c16="http://schemas.microsoft.com/office/drawing/2014/chart" uri="{C3380CC4-5D6E-409C-BE32-E72D297353CC}">
              <c16:uniqueId val="{00000000-2720-4215-BE26-BE8CD04E1C26}"/>
            </c:ext>
          </c:extLst>
        </c:ser>
        <c:ser>
          <c:idx val="1"/>
          <c:order val="1"/>
          <c:tx>
            <c:strRef>
              <c:f>'PIVOT TABLE'!$C$14</c:f>
              <c:strCache>
                <c:ptCount val="1"/>
                <c:pt idx="0">
                  <c:v>Sum of Price</c:v>
                </c:pt>
              </c:strCache>
            </c:strRef>
          </c:tx>
          <c:spPr>
            <a:solidFill>
              <a:schemeClr val="accent2"/>
            </a:solidFill>
            <a:ln>
              <a:noFill/>
            </a:ln>
            <a:effectLst/>
          </c:spPr>
          <c:invertIfNegative val="0"/>
          <c:cat>
            <c:strRef>
              <c:f>'PIVOT TABLE'!$A$15:$A$18</c:f>
              <c:strCache>
                <c:ptCount val="3"/>
                <c:pt idx="0">
                  <c:v>Bread</c:v>
                </c:pt>
                <c:pt idx="1">
                  <c:v>Cake</c:v>
                </c:pt>
                <c:pt idx="2">
                  <c:v>Cookies</c:v>
                </c:pt>
              </c:strCache>
            </c:strRef>
          </c:cat>
          <c:val>
            <c:numRef>
              <c:f>'PIVOT TABLE'!$C$15:$C$18</c:f>
              <c:numCache>
                <c:formatCode>General</c:formatCode>
                <c:ptCount val="3"/>
                <c:pt idx="0">
                  <c:v>25</c:v>
                </c:pt>
                <c:pt idx="1">
                  <c:v>50</c:v>
                </c:pt>
                <c:pt idx="2">
                  <c:v>30</c:v>
                </c:pt>
              </c:numCache>
            </c:numRef>
          </c:val>
          <c:extLst>
            <c:ext xmlns:c16="http://schemas.microsoft.com/office/drawing/2014/chart" uri="{C3380CC4-5D6E-409C-BE32-E72D297353CC}">
              <c16:uniqueId val="{00000001-2720-4215-BE26-BE8CD04E1C26}"/>
            </c:ext>
          </c:extLst>
        </c:ser>
        <c:dLbls>
          <c:showLegendKey val="0"/>
          <c:showVal val="0"/>
          <c:showCatName val="0"/>
          <c:showSerName val="0"/>
          <c:showPercent val="0"/>
          <c:showBubbleSize val="0"/>
        </c:dLbls>
        <c:gapWidth val="182"/>
        <c:axId val="357999712"/>
        <c:axId val="358001672"/>
      </c:barChart>
      <c:catAx>
        <c:axId val="35799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01672"/>
        <c:crosses val="autoZero"/>
        <c:auto val="1"/>
        <c:lblAlgn val="ctr"/>
        <c:lblOffset val="100"/>
        <c:noMultiLvlLbl val="0"/>
      </c:catAx>
      <c:valAx>
        <c:axId val="358001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9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W1</c:v>
                </c:pt>
                <c:pt idx="1">
                  <c:v>W2</c:v>
                </c:pt>
                <c:pt idx="2">
                  <c:v>W3</c:v>
                </c:pt>
                <c:pt idx="3">
                  <c:v>W4</c:v>
                </c:pt>
                <c:pt idx="4">
                  <c:v>W5</c:v>
                </c:pt>
              </c:strCache>
            </c:strRef>
          </c:cat>
          <c:val>
            <c:numRef>
              <c:f>'PIVOT TABLE'!$B$24:$B$29</c:f>
              <c:numCache>
                <c:formatCode>General</c:formatCode>
                <c:ptCount val="5"/>
                <c:pt idx="0">
                  <c:v>396.5</c:v>
                </c:pt>
                <c:pt idx="1">
                  <c:v>477.5</c:v>
                </c:pt>
                <c:pt idx="2">
                  <c:v>493</c:v>
                </c:pt>
                <c:pt idx="3">
                  <c:v>420</c:v>
                </c:pt>
                <c:pt idx="4">
                  <c:v>166</c:v>
                </c:pt>
              </c:numCache>
            </c:numRef>
          </c:val>
          <c:smooth val="0"/>
          <c:extLst>
            <c:ext xmlns:c16="http://schemas.microsoft.com/office/drawing/2014/chart" uri="{C3380CC4-5D6E-409C-BE32-E72D297353CC}">
              <c16:uniqueId val="{00000000-A35D-4ADF-B806-99065F7C3A05}"/>
            </c:ext>
          </c:extLst>
        </c:ser>
        <c:dLbls>
          <c:showLegendKey val="0"/>
          <c:showVal val="0"/>
          <c:showCatName val="0"/>
          <c:showSerName val="0"/>
          <c:showPercent val="0"/>
          <c:showBubbleSize val="0"/>
        </c:dLbls>
        <c:marker val="1"/>
        <c:smooth val="0"/>
        <c:axId val="357999320"/>
        <c:axId val="358000104"/>
      </c:lineChart>
      <c:catAx>
        <c:axId val="35799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00104"/>
        <c:crosses val="autoZero"/>
        <c:auto val="1"/>
        <c:lblAlgn val="ctr"/>
        <c:lblOffset val="100"/>
        <c:noMultiLvlLbl val="0"/>
      </c:catAx>
      <c:valAx>
        <c:axId val="358000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99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TABLE'!$A$34:$A$41</c:f>
              <c:strCache>
                <c:ptCount val="7"/>
                <c:pt idx="0">
                  <c:v>Monday</c:v>
                </c:pt>
                <c:pt idx="1">
                  <c:v>Tuesday</c:v>
                </c:pt>
                <c:pt idx="2">
                  <c:v>Wednesday</c:v>
                </c:pt>
                <c:pt idx="3">
                  <c:v>Thursday</c:v>
                </c:pt>
                <c:pt idx="4">
                  <c:v>Friday</c:v>
                </c:pt>
                <c:pt idx="5">
                  <c:v>Saturday</c:v>
                </c:pt>
                <c:pt idx="6">
                  <c:v>Sunday</c:v>
                </c:pt>
              </c:strCache>
            </c:strRef>
          </c:cat>
          <c:val>
            <c:numRef>
              <c:f>'PIVOT TABLE'!$B$34:$B$41</c:f>
              <c:numCache>
                <c:formatCode>General</c:formatCode>
                <c:ptCount val="7"/>
                <c:pt idx="0">
                  <c:v>325</c:v>
                </c:pt>
                <c:pt idx="1">
                  <c:v>234.5</c:v>
                </c:pt>
                <c:pt idx="2">
                  <c:v>230</c:v>
                </c:pt>
                <c:pt idx="3">
                  <c:v>291.5</c:v>
                </c:pt>
                <c:pt idx="4">
                  <c:v>295</c:v>
                </c:pt>
                <c:pt idx="5">
                  <c:v>281</c:v>
                </c:pt>
                <c:pt idx="6">
                  <c:v>296</c:v>
                </c:pt>
              </c:numCache>
            </c:numRef>
          </c:val>
          <c:smooth val="0"/>
          <c:extLst>
            <c:ext xmlns:c16="http://schemas.microsoft.com/office/drawing/2014/chart" uri="{C3380CC4-5D6E-409C-BE32-E72D297353CC}">
              <c16:uniqueId val="{00000000-EBD6-463D-821A-914B03241B31}"/>
            </c:ext>
          </c:extLst>
        </c:ser>
        <c:dLbls>
          <c:showLegendKey val="0"/>
          <c:showVal val="0"/>
          <c:showCatName val="0"/>
          <c:showSerName val="0"/>
          <c:showPercent val="0"/>
          <c:showBubbleSize val="0"/>
        </c:dLbls>
        <c:marker val="1"/>
        <c:smooth val="0"/>
        <c:axId val="348729280"/>
        <c:axId val="348730848"/>
      </c:lineChart>
      <c:catAx>
        <c:axId val="34872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30848"/>
        <c:crosses val="autoZero"/>
        <c:auto val="1"/>
        <c:lblAlgn val="ctr"/>
        <c:lblOffset val="100"/>
        <c:noMultiLvlLbl val="0"/>
      </c:catAx>
      <c:valAx>
        <c:axId val="34873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E8-42BC-BA07-4685D78B3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E8-42BC-BA07-4685D78B3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E8-42BC-BA07-4685D78B3833}"/>
              </c:ext>
            </c:extLst>
          </c:dPt>
          <c:cat>
            <c:strRef>
              <c:f>'PIVOT TABLE'!$A$53:$A$56</c:f>
              <c:strCache>
                <c:ptCount val="3"/>
                <c:pt idx="0">
                  <c:v>Card</c:v>
                </c:pt>
                <c:pt idx="1">
                  <c:v>Cash</c:v>
                </c:pt>
                <c:pt idx="2">
                  <c:v>Transfer</c:v>
                </c:pt>
              </c:strCache>
            </c:strRef>
          </c:cat>
          <c:val>
            <c:numRef>
              <c:f>'PIVOT TABLE'!$B$53:$B$56</c:f>
              <c:numCache>
                <c:formatCode>General</c:formatCode>
                <c:ptCount val="3"/>
                <c:pt idx="0">
                  <c:v>930</c:v>
                </c:pt>
                <c:pt idx="1">
                  <c:v>465</c:v>
                </c:pt>
                <c:pt idx="2">
                  <c:v>558</c:v>
                </c:pt>
              </c:numCache>
            </c:numRef>
          </c:val>
          <c:extLst>
            <c:ext xmlns:c16="http://schemas.microsoft.com/office/drawing/2014/chart" uri="{C3380CC4-5D6E-409C-BE32-E72D297353CC}">
              <c16:uniqueId val="{00000006-33E8-42BC-BA07-4685D78B38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TABLE!PivotTable18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6791447944006996"/>
          <c:w val="0.77378937007874016"/>
          <c:h val="0.53774387576552929"/>
        </c:manualLayout>
      </c:layout>
      <c:barChart>
        <c:barDir val="col"/>
        <c:grouping val="clustered"/>
        <c:varyColors val="0"/>
        <c:ser>
          <c:idx val="0"/>
          <c:order val="0"/>
          <c:tx>
            <c:strRef>
              <c:f>'PIVOT TABLE'!$B$44</c:f>
              <c:strCache>
                <c:ptCount val="1"/>
                <c:pt idx="0">
                  <c:v>Total</c:v>
                </c:pt>
              </c:strCache>
            </c:strRef>
          </c:tx>
          <c:spPr>
            <a:solidFill>
              <a:schemeClr val="accent1"/>
            </a:solidFill>
            <a:ln>
              <a:noFill/>
            </a:ln>
            <a:effectLst/>
          </c:spPr>
          <c:invertIfNegative val="0"/>
          <c:cat>
            <c:strRef>
              <c:f>'PIVOT TABLE'!$A$45:$A$48</c:f>
              <c:strCache>
                <c:ptCount val="3"/>
                <c:pt idx="0">
                  <c:v>Bread</c:v>
                </c:pt>
                <c:pt idx="1">
                  <c:v>Cake</c:v>
                </c:pt>
                <c:pt idx="2">
                  <c:v>Cookies</c:v>
                </c:pt>
              </c:strCache>
            </c:strRef>
          </c:cat>
          <c:val>
            <c:numRef>
              <c:f>'PIVOT TABLE'!$B$45:$B$48</c:f>
              <c:numCache>
                <c:formatCode>General</c:formatCode>
                <c:ptCount val="3"/>
                <c:pt idx="0">
                  <c:v>46.5</c:v>
                </c:pt>
                <c:pt idx="1">
                  <c:v>93</c:v>
                </c:pt>
                <c:pt idx="2">
                  <c:v>55.8</c:v>
                </c:pt>
              </c:numCache>
            </c:numRef>
          </c:val>
          <c:extLst>
            <c:ext xmlns:c16="http://schemas.microsoft.com/office/drawing/2014/chart" uri="{C3380CC4-5D6E-409C-BE32-E72D297353CC}">
              <c16:uniqueId val="{00000000-CD59-403B-9012-FF00F4E14EF0}"/>
            </c:ext>
          </c:extLst>
        </c:ser>
        <c:dLbls>
          <c:showLegendKey val="0"/>
          <c:showVal val="0"/>
          <c:showCatName val="0"/>
          <c:showSerName val="0"/>
          <c:showPercent val="0"/>
          <c:showBubbleSize val="0"/>
        </c:dLbls>
        <c:gapWidth val="219"/>
        <c:overlap val="-27"/>
        <c:axId val="342438256"/>
        <c:axId val="301482672"/>
      </c:barChart>
      <c:catAx>
        <c:axId val="342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82672"/>
        <c:crosses val="autoZero"/>
        <c:auto val="1"/>
        <c:lblAlgn val="ctr"/>
        <c:lblOffset val="100"/>
        <c:noMultiLvlLbl val="0"/>
      </c:catAx>
      <c:valAx>
        <c:axId val="30148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3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TABLE!PivotTable20</c:name>
    <c:fmtId val="0"/>
  </c:pivotSource>
  <c:chart>
    <c:title>
      <c:layout>
        <c:manualLayout>
          <c:xMode val="edge"/>
          <c:yMode val="edge"/>
          <c:x val="0.44474759513621592"/>
          <c:y val="7.5328694441940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2273556430446195"/>
          <c:y val="0.24939596092155147"/>
          <c:w val="0.41147353455818025"/>
          <c:h val="0.68578922426363376"/>
        </c:manualLayout>
      </c:layout>
      <c:doughnutChart>
        <c:varyColors val="1"/>
        <c:ser>
          <c:idx val="0"/>
          <c:order val="0"/>
          <c:tx>
            <c:strRef>
              <c:f>'PIVOT TABLE'!$B$60</c:f>
              <c:strCache>
                <c:ptCount val="1"/>
                <c:pt idx="0">
                  <c:v>Total</c:v>
                </c:pt>
              </c:strCache>
            </c:strRef>
          </c:tx>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1-78DD-4BFC-8907-76C5E39099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DD-4BFC-8907-76C5E3909932}"/>
              </c:ext>
            </c:extLst>
          </c:dPt>
          <c:cat>
            <c:strRef>
              <c:f>'PIVOT TABLE'!$A$61:$A$63</c:f>
              <c:strCache>
                <c:ptCount val="2"/>
                <c:pt idx="0">
                  <c:v>New</c:v>
                </c:pt>
                <c:pt idx="1">
                  <c:v>Returning</c:v>
                </c:pt>
              </c:strCache>
            </c:strRef>
          </c:cat>
          <c:val>
            <c:numRef>
              <c:f>'PIVOT TABLE'!$B$61:$B$63</c:f>
              <c:numCache>
                <c:formatCode>General</c:formatCode>
                <c:ptCount val="2"/>
                <c:pt idx="0">
                  <c:v>465</c:v>
                </c:pt>
                <c:pt idx="1">
                  <c:v>1488</c:v>
                </c:pt>
              </c:numCache>
            </c:numRef>
          </c:val>
          <c:extLst>
            <c:ext xmlns:c16="http://schemas.microsoft.com/office/drawing/2014/chart" uri="{C3380CC4-5D6E-409C-BE32-E72D297353CC}">
              <c16:uniqueId val="{00000004-78DD-4BFC-8907-76C5E39099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 sale.xlsx]PIVOT TABLE!PivotTable21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TABLE'!$B$66:$B$67</c:f>
              <c:strCache>
                <c:ptCount val="1"/>
                <c:pt idx="0">
                  <c:v>New</c:v>
                </c:pt>
              </c:strCache>
            </c:strRef>
          </c:tx>
          <c:spPr>
            <a:solidFill>
              <a:schemeClr val="accent1"/>
            </a:solidFill>
            <a:ln>
              <a:noFill/>
            </a:ln>
            <a:effectLst/>
          </c:spPr>
          <c:invertIfNegative val="0"/>
          <c:cat>
            <c:strRef>
              <c:f>'PIVOT TABLE'!$A$68:$A$71</c:f>
              <c:strCache>
                <c:ptCount val="3"/>
                <c:pt idx="0">
                  <c:v>Bread</c:v>
                </c:pt>
                <c:pt idx="1">
                  <c:v>Cake</c:v>
                </c:pt>
                <c:pt idx="2">
                  <c:v>Cookies</c:v>
                </c:pt>
              </c:strCache>
            </c:strRef>
          </c:cat>
          <c:val>
            <c:numRef>
              <c:f>'PIVOT TABLE'!$B$68:$B$71</c:f>
              <c:numCache>
                <c:formatCode>General</c:formatCode>
                <c:ptCount val="3"/>
                <c:pt idx="0">
                  <c:v>186</c:v>
                </c:pt>
              </c:numCache>
            </c:numRef>
          </c:val>
          <c:extLst>
            <c:ext xmlns:c16="http://schemas.microsoft.com/office/drawing/2014/chart" uri="{C3380CC4-5D6E-409C-BE32-E72D297353CC}">
              <c16:uniqueId val="{00000000-92EC-457E-9DB8-C5E264CE6D84}"/>
            </c:ext>
          </c:extLst>
        </c:ser>
        <c:ser>
          <c:idx val="1"/>
          <c:order val="1"/>
          <c:tx>
            <c:strRef>
              <c:f>'PIVOT TABLE'!$C$66:$C$67</c:f>
              <c:strCache>
                <c:ptCount val="1"/>
                <c:pt idx="0">
                  <c:v>Returning</c:v>
                </c:pt>
              </c:strCache>
            </c:strRef>
          </c:tx>
          <c:spPr>
            <a:solidFill>
              <a:schemeClr val="accent2"/>
            </a:solidFill>
            <a:ln>
              <a:noFill/>
            </a:ln>
            <a:effectLst/>
          </c:spPr>
          <c:invertIfNegative val="0"/>
          <c:cat>
            <c:strRef>
              <c:f>'PIVOT TABLE'!$A$68:$A$71</c:f>
              <c:strCache>
                <c:ptCount val="3"/>
                <c:pt idx="0">
                  <c:v>Bread</c:v>
                </c:pt>
                <c:pt idx="1">
                  <c:v>Cake</c:v>
                </c:pt>
                <c:pt idx="2">
                  <c:v>Cookies</c:v>
                </c:pt>
              </c:strCache>
            </c:strRef>
          </c:cat>
          <c:val>
            <c:numRef>
              <c:f>'PIVOT TABLE'!$C$68:$C$71</c:f>
              <c:numCache>
                <c:formatCode>General</c:formatCode>
                <c:ptCount val="3"/>
                <c:pt idx="1">
                  <c:v>186</c:v>
                </c:pt>
                <c:pt idx="2">
                  <c:v>186</c:v>
                </c:pt>
              </c:numCache>
            </c:numRef>
          </c:val>
          <c:extLst>
            <c:ext xmlns:c16="http://schemas.microsoft.com/office/drawing/2014/chart" uri="{C3380CC4-5D6E-409C-BE32-E72D297353CC}">
              <c16:uniqueId val="{00000002-92EC-457E-9DB8-C5E264CE6D84}"/>
            </c:ext>
          </c:extLst>
        </c:ser>
        <c:dLbls>
          <c:showLegendKey val="0"/>
          <c:showVal val="0"/>
          <c:showCatName val="0"/>
          <c:showSerName val="0"/>
          <c:showPercent val="0"/>
          <c:showBubbleSize val="0"/>
        </c:dLbls>
        <c:gapWidth val="182"/>
        <c:axId val="402060000"/>
        <c:axId val="402059216"/>
      </c:barChart>
      <c:catAx>
        <c:axId val="40206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59216"/>
        <c:crosses val="autoZero"/>
        <c:auto val="1"/>
        <c:lblAlgn val="ctr"/>
        <c:lblOffset val="100"/>
        <c:noMultiLvlLbl val="0"/>
      </c:catAx>
      <c:valAx>
        <c:axId val="40205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82195</xdr:colOff>
      <xdr:row>6</xdr:row>
      <xdr:rowOff>17972</xdr:rowOff>
    </xdr:from>
    <xdr:to>
      <xdr:col>30</xdr:col>
      <xdr:colOff>310366</xdr:colOff>
      <xdr:row>64</xdr:row>
      <xdr:rowOff>149831</xdr:rowOff>
    </xdr:to>
    <xdr:sp macro="" textlink="">
      <xdr:nvSpPr>
        <xdr:cNvPr id="35" name="Rectangle 34">
          <a:extLst>
            <a:ext uri="{FF2B5EF4-FFF2-40B4-BE49-F238E27FC236}">
              <a16:creationId xmlns:a16="http://schemas.microsoft.com/office/drawing/2014/main" id="{00000000-0008-0000-0000-000023000000}"/>
            </a:ext>
          </a:extLst>
        </xdr:cNvPr>
        <xdr:cNvSpPr/>
      </xdr:nvSpPr>
      <xdr:spPr>
        <a:xfrm>
          <a:off x="1302251" y="1173815"/>
          <a:ext cx="17308958" cy="11305005"/>
        </a:xfrm>
        <a:prstGeom prst="rect">
          <a:avLst/>
        </a:prstGeom>
        <a:solidFill>
          <a:schemeClr val="accent6">
            <a:lumMod val="50000"/>
            <a:alpha val="58000"/>
          </a:schemeClr>
        </a:solidFill>
        <a:ln w="63500">
          <a:solidFill>
            <a:schemeClr val="accent6">
              <a:lumMod val="75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6</xdr:col>
      <xdr:colOff>360829</xdr:colOff>
      <xdr:row>19</xdr:row>
      <xdr:rowOff>36055</xdr:rowOff>
    </xdr:from>
    <xdr:to>
      <xdr:col>14</xdr:col>
      <xdr:colOff>260567</xdr:colOff>
      <xdr:row>33</xdr:row>
      <xdr:rowOff>122691</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322169</xdr:colOff>
      <xdr:row>19</xdr:row>
      <xdr:rowOff>42591</xdr:rowOff>
    </xdr:from>
    <xdr:to>
      <xdr:col>21</xdr:col>
      <xdr:colOff>441645</xdr:colOff>
      <xdr:row>33</xdr:row>
      <xdr:rowOff>127774</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481502</xdr:colOff>
      <xdr:row>46</xdr:row>
      <xdr:rowOff>177584</xdr:rowOff>
    </xdr:from>
    <xdr:to>
      <xdr:col>18</xdr:col>
      <xdr:colOff>238125</xdr:colOff>
      <xdr:row>63</xdr:row>
      <xdr:rowOff>84044</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282773</xdr:colOff>
      <xdr:row>47</xdr:row>
      <xdr:rowOff>9482</xdr:rowOff>
    </xdr:from>
    <xdr:to>
      <xdr:col>30</xdr:col>
      <xdr:colOff>86157</xdr:colOff>
      <xdr:row>63</xdr:row>
      <xdr:rowOff>89018</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325243</xdr:colOff>
      <xdr:row>19</xdr:row>
      <xdr:rowOff>0</xdr:rowOff>
    </xdr:from>
    <xdr:to>
      <xdr:col>21</xdr:col>
      <xdr:colOff>511097</xdr:colOff>
      <xdr:row>46</xdr:row>
      <xdr:rowOff>81311</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3985412" y="3660169"/>
          <a:ext cx="9336275" cy="5282603"/>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6</xdr:col>
      <xdr:colOff>383324</xdr:colOff>
      <xdr:row>33</xdr:row>
      <xdr:rowOff>174237</xdr:rowOff>
    </xdr:from>
    <xdr:to>
      <xdr:col>21</xdr:col>
      <xdr:colOff>406555</xdr:colOff>
      <xdr:row>45</xdr:row>
      <xdr:rowOff>139390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578620</xdr:colOff>
      <xdr:row>19</xdr:row>
      <xdr:rowOff>17803</xdr:rowOff>
    </xdr:from>
    <xdr:to>
      <xdr:col>30</xdr:col>
      <xdr:colOff>124487</xdr:colOff>
      <xdr:row>46</xdr:row>
      <xdr:rowOff>81311</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13383959" y="3654217"/>
          <a:ext cx="5033869" cy="5231043"/>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22</xdr:col>
      <xdr:colOff>30841</xdr:colOff>
      <xdr:row>19</xdr:row>
      <xdr:rowOff>127070</xdr:rowOff>
    </xdr:from>
    <xdr:to>
      <xdr:col>30</xdr:col>
      <xdr:colOff>30840</xdr:colOff>
      <xdr:row>33</xdr:row>
      <xdr:rowOff>84416</xdr:rowOff>
    </xdr:to>
    <xdr:graphicFrame macro="">
      <xdr:nvGraphicFramePr>
        <xdr:cNvPr id="17" name="Chart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61403</xdr:colOff>
      <xdr:row>34</xdr:row>
      <xdr:rowOff>59482</xdr:rowOff>
    </xdr:from>
    <xdr:to>
      <xdr:col>30</xdr:col>
      <xdr:colOff>35307</xdr:colOff>
      <xdr:row>45</xdr:row>
      <xdr:rowOff>85578</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336178</xdr:colOff>
      <xdr:row>46</xdr:row>
      <xdr:rowOff>143045</xdr:rowOff>
    </xdr:from>
    <xdr:to>
      <xdr:col>30</xdr:col>
      <xdr:colOff>161746</xdr:colOff>
      <xdr:row>64</xdr:row>
      <xdr:rowOff>42022</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4034119" y="9163780"/>
          <a:ext cx="14617333" cy="3428830"/>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6</xdr:col>
      <xdr:colOff>364190</xdr:colOff>
      <xdr:row>7</xdr:row>
      <xdr:rowOff>182096</xdr:rowOff>
    </xdr:from>
    <xdr:to>
      <xdr:col>12</xdr:col>
      <xdr:colOff>28014</xdr:colOff>
      <xdr:row>17</xdr:row>
      <xdr:rowOff>140074</xdr:rowOff>
    </xdr:to>
    <xdr:sp macro="" textlink="">
      <xdr:nvSpPr>
        <xdr:cNvPr id="30" name="Snip Diagonal Corner Rectangle 29">
          <a:extLst>
            <a:ext uri="{FF2B5EF4-FFF2-40B4-BE49-F238E27FC236}">
              <a16:creationId xmlns:a16="http://schemas.microsoft.com/office/drawing/2014/main" id="{00000000-0008-0000-0000-00001E000000}"/>
            </a:ext>
          </a:extLst>
        </xdr:cNvPr>
        <xdr:cNvSpPr/>
      </xdr:nvSpPr>
      <xdr:spPr>
        <a:xfrm>
          <a:off x="2829484" y="378199"/>
          <a:ext cx="3361765" cy="1919007"/>
        </a:xfrm>
        <a:prstGeom prst="snip2DiagRect">
          <a:avLst/>
        </a:prstGeom>
        <a:solidFill>
          <a:schemeClr val="accent6">
            <a:lumMod val="50000"/>
            <a:alpha val="64000"/>
          </a:schemeClr>
        </a:solidFill>
        <a:ln w="34925" cap="sq">
          <a:solidFill>
            <a:schemeClr val="accent6">
              <a:lumMod val="60000"/>
              <a:lumOff val="40000"/>
              <a:alpha val="84000"/>
            </a:schemeClr>
          </a:solidFill>
          <a:prstDash val="sysDash"/>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6">
                  <a:lumMod val="20000"/>
                  <a:lumOff val="80000"/>
                </a:schemeClr>
              </a:solidFill>
            </a:rPr>
            <a:t>$1,953</a:t>
          </a:r>
        </a:p>
        <a:p>
          <a:pPr algn="ctr"/>
          <a:endParaRPr lang="en-GB" sz="3600">
            <a:solidFill>
              <a:schemeClr val="accent6">
                <a:lumMod val="20000"/>
                <a:lumOff val="80000"/>
              </a:schemeClr>
            </a:solidFill>
          </a:endParaRPr>
        </a:p>
        <a:p>
          <a:pPr algn="ctr"/>
          <a:r>
            <a:rPr lang="en-GB" sz="2400" b="1">
              <a:solidFill>
                <a:schemeClr val="accent6">
                  <a:lumMod val="20000"/>
                  <a:lumOff val="80000"/>
                </a:schemeClr>
              </a:solidFill>
            </a:rPr>
            <a:t>Total</a:t>
          </a:r>
          <a:r>
            <a:rPr lang="en-GB" sz="2400" b="1" baseline="0">
              <a:solidFill>
                <a:schemeClr val="accent6">
                  <a:lumMod val="20000"/>
                  <a:lumOff val="80000"/>
                </a:schemeClr>
              </a:solidFill>
            </a:rPr>
            <a:t> Revenue</a:t>
          </a:r>
          <a:endParaRPr lang="en-GB" sz="2400" b="1">
            <a:solidFill>
              <a:schemeClr val="accent6">
                <a:lumMod val="20000"/>
                <a:lumOff val="80000"/>
              </a:schemeClr>
            </a:solidFill>
          </a:endParaRPr>
        </a:p>
      </xdr:txBody>
    </xdr:sp>
    <xdr:clientData/>
  </xdr:twoCellAnchor>
  <xdr:twoCellAnchor>
    <xdr:from>
      <xdr:col>25</xdr:col>
      <xdr:colOff>109102</xdr:colOff>
      <xdr:row>8</xdr:row>
      <xdr:rowOff>128695</xdr:rowOff>
    </xdr:from>
    <xdr:to>
      <xdr:col>30</xdr:col>
      <xdr:colOff>83634</xdr:colOff>
      <xdr:row>18</xdr:row>
      <xdr:rowOff>86673</xdr:rowOff>
    </xdr:to>
    <xdr:sp macro="" textlink="">
      <xdr:nvSpPr>
        <xdr:cNvPr id="31" name="Snip Diagonal Corner Rectangle 30">
          <a:extLst>
            <a:ext uri="{FF2B5EF4-FFF2-40B4-BE49-F238E27FC236}">
              <a16:creationId xmlns:a16="http://schemas.microsoft.com/office/drawing/2014/main" id="{00000000-0008-0000-0000-00001F000000}"/>
            </a:ext>
          </a:extLst>
        </xdr:cNvPr>
        <xdr:cNvSpPr/>
      </xdr:nvSpPr>
      <xdr:spPr>
        <a:xfrm>
          <a:off x="15220881" y="1594080"/>
          <a:ext cx="2996888" cy="1789708"/>
        </a:xfrm>
        <a:prstGeom prst="snip2DiagRect">
          <a:avLst/>
        </a:prstGeom>
        <a:solidFill>
          <a:schemeClr val="accent6">
            <a:lumMod val="50000"/>
            <a:alpha val="64000"/>
          </a:schemeClr>
        </a:solidFill>
        <a:ln w="34925" cap="sq">
          <a:solidFill>
            <a:schemeClr val="accent6">
              <a:lumMod val="60000"/>
              <a:lumOff val="40000"/>
              <a:alpha val="84000"/>
            </a:schemeClr>
          </a:solidFill>
          <a:prstDash val="sysDash"/>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6">
                  <a:lumMod val="20000"/>
                  <a:lumOff val="80000"/>
                </a:schemeClr>
              </a:solidFill>
            </a:rPr>
            <a:t>3</a:t>
          </a:r>
        </a:p>
        <a:p>
          <a:pPr algn="ctr"/>
          <a:endParaRPr lang="en-GB" sz="3600">
            <a:solidFill>
              <a:schemeClr val="accent6">
                <a:lumMod val="20000"/>
                <a:lumOff val="80000"/>
              </a:schemeClr>
            </a:solidFill>
          </a:endParaRPr>
        </a:p>
        <a:p>
          <a:pPr algn="ctr"/>
          <a:r>
            <a:rPr lang="en-GB" sz="2400" b="1">
              <a:solidFill>
                <a:schemeClr val="accent6">
                  <a:lumMod val="20000"/>
                  <a:lumOff val="80000"/>
                </a:schemeClr>
              </a:solidFill>
            </a:rPr>
            <a:t>Count</a:t>
          </a:r>
          <a:r>
            <a:rPr lang="en-GB" sz="2400" b="1" baseline="0">
              <a:solidFill>
                <a:schemeClr val="accent6">
                  <a:lumMod val="20000"/>
                  <a:lumOff val="80000"/>
                </a:schemeClr>
              </a:solidFill>
            </a:rPr>
            <a:t> of Product</a:t>
          </a:r>
          <a:endParaRPr lang="en-GB" sz="2400" b="1">
            <a:solidFill>
              <a:schemeClr val="accent6">
                <a:lumMod val="20000"/>
                <a:lumOff val="80000"/>
              </a:schemeClr>
            </a:solidFill>
          </a:endParaRPr>
        </a:p>
      </xdr:txBody>
    </xdr:sp>
    <xdr:clientData/>
  </xdr:twoCellAnchor>
  <xdr:twoCellAnchor>
    <xdr:from>
      <xdr:col>19</xdr:col>
      <xdr:colOff>38659</xdr:colOff>
      <xdr:row>8</xdr:row>
      <xdr:rowOff>52666</xdr:rowOff>
    </xdr:from>
    <xdr:to>
      <xdr:col>24</xdr:col>
      <xdr:colOff>318806</xdr:colOff>
      <xdr:row>18</xdr:row>
      <xdr:rowOff>10644</xdr:rowOff>
    </xdr:to>
    <xdr:sp macro="" textlink="">
      <xdr:nvSpPr>
        <xdr:cNvPr id="32" name="Snip Diagonal Corner Rectangle 31">
          <a:extLst>
            <a:ext uri="{FF2B5EF4-FFF2-40B4-BE49-F238E27FC236}">
              <a16:creationId xmlns:a16="http://schemas.microsoft.com/office/drawing/2014/main" id="{00000000-0008-0000-0000-000020000000}"/>
            </a:ext>
          </a:extLst>
        </xdr:cNvPr>
        <xdr:cNvSpPr/>
      </xdr:nvSpPr>
      <xdr:spPr>
        <a:xfrm>
          <a:off x="11621059" y="1576666"/>
          <a:ext cx="3328147" cy="1862978"/>
        </a:xfrm>
        <a:prstGeom prst="snip2DiagRect">
          <a:avLst/>
        </a:prstGeom>
        <a:solidFill>
          <a:schemeClr val="accent6">
            <a:lumMod val="50000"/>
            <a:alpha val="64000"/>
          </a:schemeClr>
        </a:solidFill>
        <a:ln w="34925" cap="sq">
          <a:solidFill>
            <a:schemeClr val="accent6">
              <a:lumMod val="60000"/>
              <a:lumOff val="40000"/>
              <a:alpha val="84000"/>
            </a:schemeClr>
          </a:solidFill>
          <a:prstDash val="sysDash"/>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6">
                  <a:lumMod val="20000"/>
                  <a:lumOff val="80000"/>
                </a:schemeClr>
              </a:solidFill>
            </a:rPr>
            <a:t>$3.5</a:t>
          </a:r>
        </a:p>
        <a:p>
          <a:pPr algn="ctr"/>
          <a:endParaRPr lang="en-GB" sz="3600">
            <a:solidFill>
              <a:schemeClr val="accent6">
                <a:lumMod val="20000"/>
                <a:lumOff val="80000"/>
              </a:schemeClr>
            </a:solidFill>
          </a:endParaRPr>
        </a:p>
        <a:p>
          <a:pPr algn="ctr"/>
          <a:r>
            <a:rPr lang="en-GB" sz="2400" b="1">
              <a:solidFill>
                <a:schemeClr val="accent6">
                  <a:lumMod val="20000"/>
                  <a:lumOff val="80000"/>
                </a:schemeClr>
              </a:solidFill>
            </a:rPr>
            <a:t>Average price</a:t>
          </a:r>
        </a:p>
      </xdr:txBody>
    </xdr:sp>
    <xdr:clientData/>
  </xdr:twoCellAnchor>
  <xdr:twoCellAnchor>
    <xdr:from>
      <xdr:col>12</xdr:col>
      <xdr:colOff>499220</xdr:colOff>
      <xdr:row>8</xdr:row>
      <xdr:rowOff>8964</xdr:rowOff>
    </xdr:from>
    <xdr:to>
      <xdr:col>18</xdr:col>
      <xdr:colOff>163044</xdr:colOff>
      <xdr:row>17</xdr:row>
      <xdr:rowOff>163045</xdr:rowOff>
    </xdr:to>
    <xdr:sp macro="" textlink="">
      <xdr:nvSpPr>
        <xdr:cNvPr id="33" name="Snip Diagonal Corner Rectangle 32">
          <a:extLst>
            <a:ext uri="{FF2B5EF4-FFF2-40B4-BE49-F238E27FC236}">
              <a16:creationId xmlns:a16="http://schemas.microsoft.com/office/drawing/2014/main" id="{00000000-0008-0000-0000-000021000000}"/>
            </a:ext>
          </a:extLst>
        </xdr:cNvPr>
        <xdr:cNvSpPr/>
      </xdr:nvSpPr>
      <xdr:spPr>
        <a:xfrm>
          <a:off x="6662455" y="401170"/>
          <a:ext cx="3361765" cy="1919007"/>
        </a:xfrm>
        <a:prstGeom prst="snip2DiagRect">
          <a:avLst/>
        </a:prstGeom>
        <a:solidFill>
          <a:schemeClr val="accent6">
            <a:lumMod val="50000"/>
            <a:alpha val="64000"/>
          </a:schemeClr>
        </a:solidFill>
        <a:ln w="34925" cap="sq">
          <a:solidFill>
            <a:schemeClr val="accent6">
              <a:lumMod val="60000"/>
              <a:lumOff val="40000"/>
              <a:alpha val="84000"/>
            </a:schemeClr>
          </a:solidFill>
          <a:prstDash val="sysDash"/>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6">
                  <a:lumMod val="20000"/>
                  <a:lumOff val="80000"/>
                </a:schemeClr>
              </a:solidFill>
            </a:rPr>
            <a:t>558</a:t>
          </a:r>
        </a:p>
        <a:p>
          <a:pPr algn="ctr"/>
          <a:endParaRPr lang="en-GB" sz="3600">
            <a:solidFill>
              <a:schemeClr val="accent6">
                <a:lumMod val="20000"/>
                <a:lumOff val="80000"/>
              </a:schemeClr>
            </a:solidFill>
          </a:endParaRPr>
        </a:p>
        <a:p>
          <a:pPr algn="ctr"/>
          <a:r>
            <a:rPr lang="en-GB" sz="2400" b="1">
              <a:solidFill>
                <a:schemeClr val="accent6">
                  <a:lumMod val="20000"/>
                  <a:lumOff val="80000"/>
                </a:schemeClr>
              </a:solidFill>
            </a:rPr>
            <a:t>Total</a:t>
          </a:r>
          <a:r>
            <a:rPr lang="en-GB" sz="2400" b="1" baseline="0">
              <a:solidFill>
                <a:schemeClr val="accent6">
                  <a:lumMod val="20000"/>
                  <a:lumOff val="80000"/>
                </a:schemeClr>
              </a:solidFill>
            </a:rPr>
            <a:t> Quantity</a:t>
          </a:r>
          <a:endParaRPr lang="en-GB" sz="2400" b="1">
            <a:solidFill>
              <a:schemeClr val="accent6">
                <a:lumMod val="20000"/>
                <a:lumOff val="80000"/>
              </a:schemeClr>
            </a:solidFill>
          </a:endParaRPr>
        </a:p>
      </xdr:txBody>
    </xdr:sp>
    <xdr:clientData/>
  </xdr:twoCellAnchor>
  <xdr:twoCellAnchor>
    <xdr:from>
      <xdr:col>2</xdr:col>
      <xdr:colOff>349347</xdr:colOff>
      <xdr:row>7</xdr:row>
      <xdr:rowOff>62229</xdr:rowOff>
    </xdr:from>
    <xdr:to>
      <xdr:col>6</xdr:col>
      <xdr:colOff>223281</xdr:colOff>
      <xdr:row>63</xdr:row>
      <xdr:rowOff>113313</xdr:rowOff>
    </xdr:to>
    <xdr:sp macro="" textlink="">
      <xdr:nvSpPr>
        <xdr:cNvPr id="36" name="Rectangle 35">
          <a:extLst>
            <a:ext uri="{FF2B5EF4-FFF2-40B4-BE49-F238E27FC236}">
              <a16:creationId xmlns:a16="http://schemas.microsoft.com/office/drawing/2014/main" id="{00000000-0008-0000-0000-000024000000}"/>
            </a:ext>
          </a:extLst>
        </xdr:cNvPr>
        <xdr:cNvSpPr/>
      </xdr:nvSpPr>
      <xdr:spPr>
        <a:xfrm>
          <a:off x="1571959" y="1355923"/>
          <a:ext cx="2319158" cy="10400636"/>
        </a:xfrm>
        <a:prstGeom prst="rect">
          <a:avLst/>
        </a:prstGeom>
        <a:blipFill>
          <a:blip xmlns:r="http://schemas.openxmlformats.org/officeDocument/2006/relationships" r:embed="rId8">
            <a:extLst>
              <a:ext uri="{28A0092B-C50C-407E-A947-70E740481C1C}">
                <a14:useLocalDpi xmlns:a14="http://schemas.microsoft.com/office/drawing/2010/main" val="0"/>
              </a:ext>
            </a:extLst>
          </a:blip>
          <a:stretch>
            <a:fillRect/>
          </a:stretch>
        </a:blip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3600">
            <a:solidFill>
              <a:schemeClr val="accent6">
                <a:lumMod val="50000"/>
              </a:schemeClr>
            </a:solidFill>
            <a:latin typeface="Lucida Handwriting" panose="03010101010101010101" pitchFamily="66" charset="0"/>
          </a:endParaRPr>
        </a:p>
      </xdr:txBody>
    </xdr:sp>
    <xdr:clientData/>
  </xdr:twoCellAnchor>
  <xdr:twoCellAnchor>
    <xdr:from>
      <xdr:col>3</xdr:col>
      <xdr:colOff>0</xdr:colOff>
      <xdr:row>47</xdr:row>
      <xdr:rowOff>182096</xdr:rowOff>
    </xdr:from>
    <xdr:to>
      <xdr:col>6</xdr:col>
      <xdr:colOff>126066</xdr:colOff>
      <xdr:row>51</xdr:row>
      <xdr:rowOff>182095</xdr:rowOff>
    </xdr:to>
    <xdr:sp macro="" textlink="">
      <xdr:nvSpPr>
        <xdr:cNvPr id="38" name="Rectangle 37">
          <a:extLst>
            <a:ext uri="{FF2B5EF4-FFF2-40B4-BE49-F238E27FC236}">
              <a16:creationId xmlns:a16="http://schemas.microsoft.com/office/drawing/2014/main" id="{00000000-0008-0000-0000-000026000000}"/>
            </a:ext>
          </a:extLst>
        </xdr:cNvPr>
        <xdr:cNvSpPr/>
      </xdr:nvSpPr>
      <xdr:spPr>
        <a:xfrm>
          <a:off x="1848971" y="9398934"/>
          <a:ext cx="1975036" cy="7844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GB" sz="1100">
              <a:solidFill>
                <a:srgbClr val="FF0000"/>
              </a:solidFill>
            </a:rPr>
            <a:t> </a:t>
          </a:r>
        </a:p>
        <a:p>
          <a:pPr algn="ctr"/>
          <a:r>
            <a:rPr lang="en-GB" sz="2400" b="1">
              <a:solidFill>
                <a:schemeClr val="accent6">
                  <a:lumMod val="50000"/>
                </a:schemeClr>
              </a:solidFill>
              <a:latin typeface="+mn-lt"/>
            </a:rPr>
            <a:t>Bread</a:t>
          </a:r>
        </a:p>
      </xdr:txBody>
    </xdr:sp>
    <xdr:clientData/>
  </xdr:twoCellAnchor>
  <xdr:twoCellAnchor>
    <xdr:from>
      <xdr:col>2</xdr:col>
      <xdr:colOff>600637</xdr:colOff>
      <xdr:row>53</xdr:row>
      <xdr:rowOff>26334</xdr:rowOff>
    </xdr:from>
    <xdr:to>
      <xdr:col>6</xdr:col>
      <xdr:colOff>110379</xdr:colOff>
      <xdr:row>57</xdr:row>
      <xdr:rowOff>26333</xdr:rowOff>
    </xdr:to>
    <xdr:sp macro="" textlink="">
      <xdr:nvSpPr>
        <xdr:cNvPr id="39" name="Rectangle 38">
          <a:extLst>
            <a:ext uri="{FF2B5EF4-FFF2-40B4-BE49-F238E27FC236}">
              <a16:creationId xmlns:a16="http://schemas.microsoft.com/office/drawing/2014/main" id="{00000000-0008-0000-0000-000027000000}"/>
            </a:ext>
          </a:extLst>
        </xdr:cNvPr>
        <xdr:cNvSpPr/>
      </xdr:nvSpPr>
      <xdr:spPr>
        <a:xfrm>
          <a:off x="1833284" y="10419790"/>
          <a:ext cx="1975036" cy="7844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GB" sz="1100">
              <a:solidFill>
                <a:srgbClr val="FF0000"/>
              </a:solidFill>
            </a:rPr>
            <a:t> </a:t>
          </a:r>
        </a:p>
        <a:p>
          <a:pPr algn="ctr"/>
          <a:r>
            <a:rPr lang="en-GB" sz="2400" b="1">
              <a:solidFill>
                <a:schemeClr val="accent6">
                  <a:lumMod val="50000"/>
                </a:schemeClr>
              </a:solidFill>
              <a:latin typeface="+mn-lt"/>
            </a:rPr>
            <a:t>Cake</a:t>
          </a:r>
        </a:p>
      </xdr:txBody>
    </xdr:sp>
    <xdr:clientData/>
  </xdr:twoCellAnchor>
  <xdr:twoCellAnchor>
    <xdr:from>
      <xdr:col>2</xdr:col>
      <xdr:colOff>598955</xdr:colOff>
      <xdr:row>58</xdr:row>
      <xdr:rowOff>164726</xdr:rowOff>
    </xdr:from>
    <xdr:to>
      <xdr:col>6</xdr:col>
      <xdr:colOff>108697</xdr:colOff>
      <xdr:row>62</xdr:row>
      <xdr:rowOff>164726</xdr:rowOff>
    </xdr:to>
    <xdr:sp macro="" textlink="">
      <xdr:nvSpPr>
        <xdr:cNvPr id="40" name="Rectangle 39">
          <a:extLst>
            <a:ext uri="{FF2B5EF4-FFF2-40B4-BE49-F238E27FC236}">
              <a16:creationId xmlns:a16="http://schemas.microsoft.com/office/drawing/2014/main" id="{00000000-0008-0000-0000-000028000000}"/>
            </a:ext>
          </a:extLst>
        </xdr:cNvPr>
        <xdr:cNvSpPr/>
      </xdr:nvSpPr>
      <xdr:spPr>
        <a:xfrm>
          <a:off x="1831602" y="11538697"/>
          <a:ext cx="1975036" cy="7844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GB" sz="1100">
              <a:solidFill>
                <a:srgbClr val="FF0000"/>
              </a:solidFill>
            </a:rPr>
            <a:t> </a:t>
          </a:r>
        </a:p>
        <a:p>
          <a:pPr algn="ctr"/>
          <a:r>
            <a:rPr lang="en-GB" sz="2400" b="1">
              <a:solidFill>
                <a:schemeClr val="accent6">
                  <a:lumMod val="50000"/>
                </a:schemeClr>
              </a:solidFill>
              <a:latin typeface="+mn-lt"/>
            </a:rPr>
            <a:t>Cookies</a:t>
          </a:r>
        </a:p>
      </xdr:txBody>
    </xdr:sp>
    <xdr:clientData/>
  </xdr:twoCellAnchor>
  <xdr:twoCellAnchor>
    <xdr:from>
      <xdr:col>2</xdr:col>
      <xdr:colOff>536759</xdr:colOff>
      <xdr:row>8</xdr:row>
      <xdr:rowOff>196102</xdr:rowOff>
    </xdr:from>
    <xdr:to>
      <xdr:col>6</xdr:col>
      <xdr:colOff>154079</xdr:colOff>
      <xdr:row>16</xdr:row>
      <xdr:rowOff>28015</xdr:rowOff>
    </xdr:to>
    <xdr:sp macro="" textlink="">
      <xdr:nvSpPr>
        <xdr:cNvPr id="41" name="Rectangle 40">
          <a:extLst>
            <a:ext uri="{FF2B5EF4-FFF2-40B4-BE49-F238E27FC236}">
              <a16:creationId xmlns:a16="http://schemas.microsoft.com/office/drawing/2014/main" id="{00000000-0008-0000-0000-000029000000}"/>
            </a:ext>
          </a:extLst>
        </xdr:cNvPr>
        <xdr:cNvSpPr/>
      </xdr:nvSpPr>
      <xdr:spPr>
        <a:xfrm>
          <a:off x="536759" y="588308"/>
          <a:ext cx="2082614" cy="140073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GB" sz="3200" b="1">
              <a:solidFill>
                <a:schemeClr val="accent6">
                  <a:lumMod val="50000"/>
                </a:schemeClr>
              </a:solidFill>
              <a:effectLst/>
              <a:latin typeface="Lucida Handwriting" panose="03010101010101010101" pitchFamily="66" charset="0"/>
              <a:ea typeface="+mn-ea"/>
              <a:cs typeface="+mn-cs"/>
            </a:rPr>
            <a:t>BAKERY</a:t>
          </a:r>
          <a:r>
            <a:rPr lang="en-GB" sz="3200" b="1" baseline="0">
              <a:solidFill>
                <a:schemeClr val="accent6">
                  <a:lumMod val="50000"/>
                </a:schemeClr>
              </a:solidFill>
              <a:effectLst/>
              <a:latin typeface="Lucida Handwriting" panose="03010101010101010101" pitchFamily="66" charset="0"/>
              <a:ea typeface="+mn-ea"/>
              <a:cs typeface="+mn-cs"/>
            </a:rPr>
            <a:t> SALE</a:t>
          </a:r>
          <a:endParaRPr lang="en-GB" sz="3200" b="1">
            <a:solidFill>
              <a:schemeClr val="accent6">
                <a:lumMod val="50000"/>
              </a:schemeClr>
            </a:solidFill>
            <a:effectLst/>
            <a:latin typeface="Lucida Handwriting" panose="03010101010101010101" pitchFamily="66" charset="0"/>
          </a:endParaRPr>
        </a:p>
        <a:p>
          <a:pPr algn="l"/>
          <a:endParaRPr lang="en-GB" sz="1100">
            <a:solidFill>
              <a:srgbClr val="FF0000"/>
            </a:solidFill>
          </a:endParaRPr>
        </a:p>
      </xdr:txBody>
    </xdr:sp>
    <xdr:clientData/>
  </xdr:twoCellAnchor>
  <xdr:twoCellAnchor editAs="oneCell">
    <xdr:from>
      <xdr:col>3</xdr:col>
      <xdr:colOff>42648</xdr:colOff>
      <xdr:row>25</xdr:row>
      <xdr:rowOff>14884</xdr:rowOff>
    </xdr:from>
    <xdr:to>
      <xdr:col>5</xdr:col>
      <xdr:colOff>568657</xdr:colOff>
      <xdr:row>38</xdr:row>
      <xdr:rowOff>178595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3AE47B72-2E3E-3EA1-8D58-A19EC045E9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73234" y="4851798"/>
              <a:ext cx="1746400" cy="2678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390525</xdr:colOff>
      <xdr:row>0</xdr:row>
      <xdr:rowOff>152400</xdr:rowOff>
    </xdr:from>
    <xdr:to>
      <xdr:col>10</xdr:col>
      <xdr:colOff>133350</xdr:colOff>
      <xdr:row>11</xdr:row>
      <xdr:rowOff>66675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11</xdr:row>
      <xdr:rowOff>147637</xdr:rowOff>
    </xdr:from>
    <xdr:to>
      <xdr:col>10</xdr:col>
      <xdr:colOff>409575</xdr:colOff>
      <xdr:row>21</xdr:row>
      <xdr:rowOff>66675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390525</xdr:colOff>
      <xdr:row>21</xdr:row>
      <xdr:rowOff>185737</xdr:rowOff>
    </xdr:from>
    <xdr:to>
      <xdr:col>9</xdr:col>
      <xdr:colOff>180975</xdr:colOff>
      <xdr:row>30</xdr:row>
      <xdr:rowOff>123825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333375</xdr:colOff>
      <xdr:row>31</xdr:row>
      <xdr:rowOff>147637</xdr:rowOff>
    </xdr:from>
    <xdr:to>
      <xdr:col>9</xdr:col>
      <xdr:colOff>123825</xdr:colOff>
      <xdr:row>41</xdr:row>
      <xdr:rowOff>152400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190500</xdr:colOff>
      <xdr:row>49</xdr:row>
      <xdr:rowOff>180975</xdr:rowOff>
    </xdr:from>
    <xdr:to>
      <xdr:col>11</xdr:col>
      <xdr:colOff>104775</xdr:colOff>
      <xdr:row>58</xdr:row>
      <xdr:rowOff>95250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114300</xdr:colOff>
      <xdr:row>39</xdr:row>
      <xdr:rowOff>166687</xdr:rowOff>
    </xdr:from>
    <xdr:to>
      <xdr:col>8</xdr:col>
      <xdr:colOff>514350</xdr:colOff>
      <xdr:row>50</xdr:row>
      <xdr:rowOff>38100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142875</xdr:colOff>
      <xdr:row>58</xdr:row>
      <xdr:rowOff>166687</xdr:rowOff>
    </xdr:from>
    <xdr:to>
      <xdr:col>15</xdr:col>
      <xdr:colOff>600075</xdr:colOff>
      <xdr:row>69</xdr:row>
      <xdr:rowOff>57150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247650</xdr:colOff>
      <xdr:row>70</xdr:row>
      <xdr:rowOff>71437</xdr:rowOff>
    </xdr:from>
    <xdr:to>
      <xdr:col>11</xdr:col>
      <xdr:colOff>552450</xdr:colOff>
      <xdr:row>84</xdr:row>
      <xdr:rowOff>147637</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OF TECH" refreshedDate="46161.611964236108" createdVersion="5" refreshedVersion="8" minRefreshableVersion="3" recordCount="31" xr:uid="{00000000-000A-0000-FFFF-FFFF02000000}">
  <cacheSource type="worksheet">
    <worksheetSource ref="A1:I1048576" sheet="BAKERY SALE"/>
  </cacheSource>
  <cacheFields count="9">
    <cacheField name="Date" numFmtId="164">
      <sharedItems containsNonDate="0" containsDate="1" containsString="0" containsBlank="1" minDate="2025-03-01T00:00:00" maxDate="2025-03-31T00:00:00"/>
    </cacheField>
    <cacheField name="Week" numFmtId="0">
      <sharedItems containsBlank="1" count="6">
        <s v="W1"/>
        <s v="W2"/>
        <s v="W3"/>
        <s v="W4"/>
        <s v="W5"/>
        <m/>
      </sharedItems>
    </cacheField>
    <cacheField name="Day" numFmtId="14">
      <sharedItems containsBlank="1" count="8">
        <s v="Saturday"/>
        <s v="Sunday"/>
        <s v="Monday"/>
        <s v="Tuesday"/>
        <s v="Wednesday"/>
        <s v="Thursday"/>
        <s v="Friday"/>
        <m/>
      </sharedItems>
    </cacheField>
    <cacheField name="Product" numFmtId="0">
      <sharedItems containsBlank="1" count="4">
        <s v="Bread"/>
        <s v="Cake"/>
        <s v="Cookies"/>
        <m/>
      </sharedItems>
    </cacheField>
    <cacheField name="Quantity" numFmtId="0">
      <sharedItems containsString="0" containsBlank="1" containsNumber="1" containsInteger="1" minValue="10" maxValue="30"/>
    </cacheField>
    <cacheField name="Price" numFmtId="0">
      <sharedItems containsString="0" containsBlank="1" containsNumber="1" minValue="2.5" maxValue="5"/>
    </cacheField>
    <cacheField name="Payment Method" numFmtId="0">
      <sharedItems containsBlank="1" count="4">
        <s v="Cash"/>
        <s v="Card"/>
        <s v="Transfer"/>
        <m/>
      </sharedItems>
    </cacheField>
    <cacheField name="Customer Type" numFmtId="0">
      <sharedItems containsBlank="1" count="3">
        <s v="New"/>
        <s v="Returning"/>
        <m/>
      </sharedItems>
    </cacheField>
    <cacheField name="Total" numFmtId="0">
      <sharedItems containsString="0" containsBlank="1" containsNumber="1" minValue="25" maxValue="1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d v="2025-03-01T00:00:00"/>
    <x v="0"/>
    <x v="0"/>
    <x v="0"/>
    <n v="20"/>
    <n v="2.5"/>
    <x v="0"/>
    <x v="0"/>
    <n v="50"/>
  </r>
  <r>
    <d v="2025-03-02T00:00:00"/>
    <x v="0"/>
    <x v="1"/>
    <x v="1"/>
    <n v="10"/>
    <n v="5"/>
    <x v="1"/>
    <x v="1"/>
    <n v="50"/>
  </r>
  <r>
    <d v="2025-03-03T00:00:00"/>
    <x v="0"/>
    <x v="2"/>
    <x v="2"/>
    <n v="15"/>
    <n v="3"/>
    <x v="2"/>
    <x v="1"/>
    <n v="45"/>
  </r>
  <r>
    <d v="2025-03-04T00:00:00"/>
    <x v="0"/>
    <x v="3"/>
    <x v="0"/>
    <n v="25"/>
    <n v="2.5"/>
    <x v="0"/>
    <x v="0"/>
    <n v="62.5"/>
  </r>
  <r>
    <d v="2025-03-05T00:00:00"/>
    <x v="0"/>
    <x v="4"/>
    <x v="1"/>
    <n v="12"/>
    <n v="5"/>
    <x v="1"/>
    <x v="1"/>
    <n v="60"/>
  </r>
  <r>
    <d v="2025-03-06T00:00:00"/>
    <x v="0"/>
    <x v="5"/>
    <x v="2"/>
    <n v="18"/>
    <n v="3"/>
    <x v="2"/>
    <x v="1"/>
    <n v="54"/>
  </r>
  <r>
    <d v="2025-03-07T00:00:00"/>
    <x v="0"/>
    <x v="6"/>
    <x v="0"/>
    <n v="30"/>
    <n v="2.5"/>
    <x v="0"/>
    <x v="0"/>
    <n v="75"/>
  </r>
  <r>
    <d v="2025-03-08T00:00:00"/>
    <x v="1"/>
    <x v="0"/>
    <x v="1"/>
    <n v="14"/>
    <n v="5"/>
    <x v="1"/>
    <x v="1"/>
    <n v="70"/>
  </r>
  <r>
    <d v="2025-03-09T00:00:00"/>
    <x v="1"/>
    <x v="1"/>
    <x v="2"/>
    <n v="20"/>
    <n v="3"/>
    <x v="2"/>
    <x v="1"/>
    <n v="60"/>
  </r>
  <r>
    <d v="2025-03-10T00:00:00"/>
    <x v="1"/>
    <x v="2"/>
    <x v="0"/>
    <n v="22"/>
    <n v="2.5"/>
    <x v="0"/>
    <x v="0"/>
    <n v="55"/>
  </r>
  <r>
    <d v="2025-03-11T00:00:00"/>
    <x v="1"/>
    <x v="3"/>
    <x v="1"/>
    <n v="20"/>
    <n v="5"/>
    <x v="1"/>
    <x v="1"/>
    <n v="100"/>
  </r>
  <r>
    <d v="2025-03-12T00:00:00"/>
    <x v="1"/>
    <x v="4"/>
    <x v="2"/>
    <n v="10"/>
    <n v="3"/>
    <x v="2"/>
    <x v="1"/>
    <n v="30"/>
  </r>
  <r>
    <d v="2025-03-13T00:00:00"/>
    <x v="1"/>
    <x v="5"/>
    <x v="0"/>
    <n v="15"/>
    <n v="2.5"/>
    <x v="0"/>
    <x v="0"/>
    <n v="37.5"/>
  </r>
  <r>
    <d v="2025-03-14T00:00:00"/>
    <x v="1"/>
    <x v="6"/>
    <x v="1"/>
    <n v="25"/>
    <n v="5"/>
    <x v="1"/>
    <x v="1"/>
    <n v="125"/>
  </r>
  <r>
    <d v="2025-03-15T00:00:00"/>
    <x v="2"/>
    <x v="0"/>
    <x v="2"/>
    <n v="12"/>
    <n v="3"/>
    <x v="2"/>
    <x v="1"/>
    <n v="36"/>
  </r>
  <r>
    <d v="2025-03-16T00:00:00"/>
    <x v="2"/>
    <x v="1"/>
    <x v="0"/>
    <n v="18"/>
    <n v="2.5"/>
    <x v="0"/>
    <x v="0"/>
    <n v="45"/>
  </r>
  <r>
    <d v="2025-03-17T00:00:00"/>
    <x v="2"/>
    <x v="2"/>
    <x v="1"/>
    <n v="30"/>
    <n v="5"/>
    <x v="1"/>
    <x v="1"/>
    <n v="150"/>
  </r>
  <r>
    <d v="2025-03-18T00:00:00"/>
    <x v="2"/>
    <x v="3"/>
    <x v="2"/>
    <n v="14"/>
    <n v="3"/>
    <x v="2"/>
    <x v="1"/>
    <n v="42"/>
  </r>
  <r>
    <d v="2025-03-19T00:00:00"/>
    <x v="2"/>
    <x v="4"/>
    <x v="0"/>
    <n v="20"/>
    <n v="2.5"/>
    <x v="0"/>
    <x v="0"/>
    <n v="50"/>
  </r>
  <r>
    <d v="2025-03-20T00:00:00"/>
    <x v="2"/>
    <x v="5"/>
    <x v="1"/>
    <n v="22"/>
    <n v="5"/>
    <x v="1"/>
    <x v="1"/>
    <n v="110"/>
  </r>
  <r>
    <d v="2025-03-21T00:00:00"/>
    <x v="2"/>
    <x v="6"/>
    <x v="2"/>
    <n v="20"/>
    <n v="3"/>
    <x v="2"/>
    <x v="1"/>
    <n v="60"/>
  </r>
  <r>
    <d v="2025-03-22T00:00:00"/>
    <x v="3"/>
    <x v="0"/>
    <x v="0"/>
    <n v="10"/>
    <n v="2.5"/>
    <x v="0"/>
    <x v="0"/>
    <n v="25"/>
  </r>
  <r>
    <d v="2025-03-23T00:00:00"/>
    <x v="3"/>
    <x v="1"/>
    <x v="1"/>
    <n v="15"/>
    <n v="5"/>
    <x v="1"/>
    <x v="1"/>
    <n v="75"/>
  </r>
  <r>
    <d v="2025-03-24T00:00:00"/>
    <x v="3"/>
    <x v="2"/>
    <x v="2"/>
    <n v="25"/>
    <n v="3"/>
    <x v="2"/>
    <x v="1"/>
    <n v="75"/>
  </r>
  <r>
    <d v="2025-03-25T00:00:00"/>
    <x v="3"/>
    <x v="3"/>
    <x v="0"/>
    <n v="12"/>
    <n v="2.5"/>
    <x v="0"/>
    <x v="0"/>
    <n v="30"/>
  </r>
  <r>
    <d v="2025-03-26T00:00:00"/>
    <x v="3"/>
    <x v="4"/>
    <x v="1"/>
    <n v="18"/>
    <n v="5"/>
    <x v="1"/>
    <x v="1"/>
    <n v="90"/>
  </r>
  <r>
    <d v="2025-03-27T00:00:00"/>
    <x v="3"/>
    <x v="5"/>
    <x v="2"/>
    <n v="30"/>
    <n v="3"/>
    <x v="2"/>
    <x v="1"/>
    <n v="90"/>
  </r>
  <r>
    <d v="2025-03-28T00:00:00"/>
    <x v="3"/>
    <x v="6"/>
    <x v="0"/>
    <n v="14"/>
    <n v="2.5"/>
    <x v="0"/>
    <x v="0"/>
    <n v="35"/>
  </r>
  <r>
    <d v="2025-03-29T00:00:00"/>
    <x v="4"/>
    <x v="0"/>
    <x v="1"/>
    <n v="20"/>
    <n v="5"/>
    <x v="1"/>
    <x v="1"/>
    <n v="100"/>
  </r>
  <r>
    <d v="2025-03-30T00:00:00"/>
    <x v="4"/>
    <x v="1"/>
    <x v="2"/>
    <n v="22"/>
    <n v="3"/>
    <x v="2"/>
    <x v="1"/>
    <n v="66"/>
  </r>
  <r>
    <m/>
    <x v="5"/>
    <x v="7"/>
    <x v="3"/>
    <m/>
    <m/>
    <x v="3"/>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13"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3:B7" firstHeaderRow="1" firstDataRow="1" firstDataCol="1"/>
  <pivotFields count="9">
    <pivotField showAll="0"/>
    <pivotField showAll="0"/>
    <pivotField showAll="0"/>
    <pivotField axis="axisRow" showAll="0">
      <items count="5">
        <item x="0"/>
        <item x="1"/>
        <item x="2"/>
        <item h="1" x="3"/>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Total" fld="8" baseField="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15"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A23:B29" firstHeaderRow="1" firstDataRow="1" firstDataCol="1"/>
  <pivotFields count="9">
    <pivotField showAll="0"/>
    <pivotField axis="axisRow" showAll="0">
      <items count="7">
        <item x="0"/>
        <item x="1"/>
        <item x="2"/>
        <item x="3"/>
        <item x="4"/>
        <item h="1" x="5"/>
        <item t="default"/>
      </items>
    </pivotField>
    <pivotField showAll="0"/>
    <pivotField showAll="0">
      <items count="5">
        <item x="0"/>
        <item x="1"/>
        <item x="2"/>
        <item x="3"/>
        <item t="default"/>
      </items>
    </pivotField>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Total" fld="8" baseField="6"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7"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33:B41" firstHeaderRow="1" firstDataRow="1" firstDataCol="1"/>
  <pivotFields count="9">
    <pivotField showAll="0"/>
    <pivotField showAll="0"/>
    <pivotField axis="axisRow" showAll="0">
      <items count="9">
        <item x="2"/>
        <item x="3"/>
        <item x="4"/>
        <item x="5"/>
        <item x="6"/>
        <item x="0"/>
        <item x="1"/>
        <item h="1" x="7"/>
        <item t="default"/>
      </items>
    </pivotField>
    <pivotField showAll="0">
      <items count="5">
        <item x="0"/>
        <item x="1"/>
        <item x="2"/>
        <item x="3"/>
        <item t="default"/>
      </items>
    </pivotField>
    <pivotField showAll="0"/>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Total" fld="8"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0"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60:B63" firstHeaderRow="1" firstDataRow="1" firstDataCol="1"/>
  <pivotFields count="9">
    <pivotField showAll="0"/>
    <pivotField showAll="0"/>
    <pivotField showAll="0"/>
    <pivotField showAll="0">
      <items count="5">
        <item x="0"/>
        <item x="1"/>
        <item x="2"/>
        <item x="3"/>
        <item t="default"/>
      </items>
    </pivotField>
    <pivotField showAll="0"/>
    <pivotField showAll="0"/>
    <pivotField showAll="0"/>
    <pivotField axis="axisRow" showAll="0">
      <items count="4">
        <item x="0"/>
        <item x="1"/>
        <item h="1" x="2"/>
        <item t="default"/>
      </items>
    </pivotField>
    <pivotField dataField="1" showAll="0"/>
  </pivotFields>
  <rowFields count="1">
    <field x="7"/>
  </rowFields>
  <rowItems count="3">
    <i>
      <x/>
    </i>
    <i>
      <x v="1"/>
    </i>
    <i t="grand">
      <x/>
    </i>
  </rowItems>
  <colItems count="1">
    <i/>
  </colItems>
  <dataFields count="1">
    <dataField name="Sum of Total" fld="8"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9"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52:B56" firstHeaderRow="1" firstDataRow="1" firstDataCol="1"/>
  <pivotFields count="9">
    <pivotField showAll="0"/>
    <pivotField showAll="0"/>
    <pivotField showAll="0"/>
    <pivotField showAll="0">
      <items count="5">
        <item x="0"/>
        <item x="1"/>
        <item x="2"/>
        <item x="3"/>
        <item t="default"/>
      </items>
    </pivotField>
    <pivotField showAll="0"/>
    <pivotField showAll="0"/>
    <pivotField axis="axisRow" showAll="0">
      <items count="5">
        <item x="1"/>
        <item x="0"/>
        <item x="2"/>
        <item h="1" x="3"/>
        <item t="default"/>
      </items>
    </pivotField>
    <pivotField showAll="0"/>
    <pivotField dataField="1" showAll="0"/>
  </pivotFields>
  <rowFields count="1">
    <field x="6"/>
  </rowFields>
  <rowItems count="4">
    <i>
      <x/>
    </i>
    <i>
      <x v="1"/>
    </i>
    <i>
      <x v="2"/>
    </i>
    <i t="grand">
      <x/>
    </i>
  </rowItems>
  <colItems count="1">
    <i/>
  </colItems>
  <dataFields count="1">
    <dataField name="Sum of Total" fld="8" baseField="3"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8"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A44:B48" firstHeaderRow="1" firstDataRow="1" firstDataCol="1"/>
  <pivotFields count="9">
    <pivotField showAll="0"/>
    <pivotField showAll="0"/>
    <pivotField showAll="0"/>
    <pivotField axis="axisRow" showAll="0">
      <items count="5">
        <item x="0"/>
        <item x="1"/>
        <item x="2"/>
        <item h="1" x="3"/>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Average of Total" fld="8" subtotal="average" baseField="3" baseItem="0"/>
  </dataFields>
  <chartFormats count="2">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1"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66:D71" firstHeaderRow="1" firstDataRow="2" firstDataCol="1"/>
  <pivotFields count="9">
    <pivotField showAll="0"/>
    <pivotField showAll="0"/>
    <pivotField showAll="0"/>
    <pivotField axis="axisRow" showAll="0">
      <items count="5">
        <item x="0"/>
        <item x="1"/>
        <item x="2"/>
        <item x="3"/>
        <item t="default"/>
      </items>
    </pivotField>
    <pivotField dataField="1" showAll="0"/>
    <pivotField showAll="0"/>
    <pivotField showAll="0"/>
    <pivotField axis="axisCol" showAll="0">
      <items count="4">
        <item x="0"/>
        <item x="1"/>
        <item h="1" x="2"/>
        <item t="default"/>
      </items>
    </pivotField>
    <pivotField showAll="0"/>
  </pivotFields>
  <rowFields count="1">
    <field x="3"/>
  </rowFields>
  <rowItems count="4">
    <i>
      <x/>
    </i>
    <i>
      <x v="1"/>
    </i>
    <i>
      <x v="2"/>
    </i>
    <i t="grand">
      <x/>
    </i>
  </rowItems>
  <colFields count="1">
    <field x="7"/>
  </colFields>
  <colItems count="3">
    <i>
      <x/>
    </i>
    <i>
      <x v="1"/>
    </i>
    <i t="grand">
      <x/>
    </i>
  </colItems>
  <dataFields count="1">
    <dataField name="Sum of Quantity" fld="4" baseField="3"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4" cacheId="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14:C18" firstHeaderRow="0" firstDataRow="1" firstDataCol="1"/>
  <pivotFields count="9">
    <pivotField showAll="0"/>
    <pivotField showAll="0"/>
    <pivotField showAll="0"/>
    <pivotField axis="axisRow" showAll="0">
      <items count="5">
        <item x="0"/>
        <item x="1"/>
        <item x="2"/>
        <item h="1" x="3"/>
        <item t="default"/>
      </items>
    </pivotField>
    <pivotField dataField="1" showAll="0"/>
    <pivotField dataField="1"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Sum of Quantity" fld="4" baseField="3" baseItem="0"/>
    <dataField name="Sum of Price" fld="5" baseField="3"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E8D750F-FF54-4BA0-A8A1-A268566A208A}" sourceName="Product">
  <pivotTables>
    <pivotTable tabId="9" name="PivotTable13"/>
  </pivotTables>
  <data>
    <tabular pivotCacheId="1">
      <items count="4">
        <i x="0" s="1"/>
        <i x="1"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7424F6B-A869-4730-97C6-DB38FB3B107C}" cache="Slicer_Product" caption="Product"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94E7EC-5A06-4FA2-B877-E340536F82FD}" name="Table1" displayName="Table1" ref="A1:I31" totalsRowShown="0" headerRowDxfId="0" dataDxfId="1" headerRowBorderDxfId="11" tableBorderDxfId="12">
  <autoFilter ref="A1:I31" xr:uid="{8294E7EC-5A06-4FA2-B877-E340536F82FD}"/>
  <tableColumns count="9">
    <tableColumn id="1" xr3:uid="{5E27095B-330D-4A42-A03A-665449018BE7}" name="Date" dataDxfId="10"/>
    <tableColumn id="2" xr3:uid="{AA49BC56-2B59-4BC2-BCA1-DE6A4DEC4F47}" name="Week" dataDxfId="9">
      <calculatedColumnFormula>"W"&amp;ROUNDUP(DAY(A2)/7,0)</calculatedColumnFormula>
    </tableColumn>
    <tableColumn id="3" xr3:uid="{3992640A-78CC-4F26-852C-784E9CFD3773}" name="Day" dataDxfId="8">
      <calculatedColumnFormula>TEXT(A2, "dddd")</calculatedColumnFormula>
    </tableColumn>
    <tableColumn id="4" xr3:uid="{282D8335-8802-48E8-9670-2CC87265894A}" name="Product" dataDxfId="7"/>
    <tableColumn id="5" xr3:uid="{5232BAF9-BA87-454E-AAC9-EDB908267519}" name="Quantity" dataDxfId="6"/>
    <tableColumn id="6" xr3:uid="{CD633A1E-7E79-4D29-BD6D-BAA33AB2AFD8}" name="Price" dataDxfId="5"/>
    <tableColumn id="7" xr3:uid="{12BD2C44-D20B-4C62-B611-57F9920E8A66}" name="Payment Method" dataDxfId="4"/>
    <tableColumn id="8" xr3:uid="{51BF0137-24DA-4861-8844-85FAF41A998E}" name="Customer Type" dataDxfId="3"/>
    <tableColumn id="9" xr3:uid="{51E86927-4C98-4FA5-A5C8-EFBF0056690E}" name="Total" dataDxfId="2"/>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spPr>
      <a:bodyPr vertOverflow="clip" horzOverflow="clip" rtlCol="0" anchor="t"/>
      <a:lstStyle>
        <a:defPPr algn="l">
          <a:defRPr sz="1100">
            <a:solidFill>
              <a:srgbClr val="FF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topLeftCell="A3" zoomScale="64" zoomScaleNormal="64" workbookViewId="0">
      <selection activeCell="AL30" sqref="AL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71"/>
  <sheetViews>
    <sheetView topLeftCell="A61" workbookViewId="0">
      <selection activeCell="A45" sqref="A45:A47"/>
      <pivotSelection pane="bottomRight" showHeader="1" activeRow="44" click="1" r:id="rId6">
        <pivotArea dataOnly="0" labelOnly="1" fieldPosition="0">
          <references count="1">
            <reference field="3" count="0"/>
          </references>
        </pivotArea>
      </pivotSelection>
    </sheetView>
  </sheetViews>
  <sheetFormatPr defaultRowHeight="15" x14ac:dyDescent="0.25"/>
  <cols>
    <col min="1" max="1" width="13.140625" bestFit="1" customWidth="1"/>
    <col min="2" max="2" width="15.5703125" bestFit="1" customWidth="1"/>
    <col min="3" max="3" width="12" bestFit="1" customWidth="1"/>
    <col min="4" max="4" width="11.28515625" bestFit="1" customWidth="1"/>
  </cols>
  <sheetData>
    <row r="3" spans="1:3" x14ac:dyDescent="0.25">
      <c r="A3" s="1" t="s">
        <v>15</v>
      </c>
      <c r="B3" t="s">
        <v>21</v>
      </c>
    </row>
    <row r="4" spans="1:3" x14ac:dyDescent="0.25">
      <c r="A4" s="2" t="s">
        <v>7</v>
      </c>
      <c r="B4" s="3">
        <v>465</v>
      </c>
    </row>
    <row r="5" spans="1:3" x14ac:dyDescent="0.25">
      <c r="A5" s="2" t="s">
        <v>8</v>
      </c>
      <c r="B5" s="3">
        <v>930</v>
      </c>
    </row>
    <row r="6" spans="1:3" x14ac:dyDescent="0.25">
      <c r="A6" s="2" t="s">
        <v>9</v>
      </c>
      <c r="B6" s="3">
        <v>558</v>
      </c>
    </row>
    <row r="7" spans="1:3" x14ac:dyDescent="0.25">
      <c r="A7" s="2" t="s">
        <v>16</v>
      </c>
      <c r="B7" s="3">
        <v>1953</v>
      </c>
    </row>
    <row r="9" spans="1:3" x14ac:dyDescent="0.25">
      <c r="A9" s="2"/>
      <c r="B9" s="3"/>
    </row>
    <row r="10" spans="1:3" x14ac:dyDescent="0.25">
      <c r="A10" s="2"/>
      <c r="B10" s="3"/>
    </row>
    <row r="14" spans="1:3" x14ac:dyDescent="0.25">
      <c r="A14" s="1" t="s">
        <v>15</v>
      </c>
      <c r="B14" t="s">
        <v>18</v>
      </c>
      <c r="C14" t="s">
        <v>17</v>
      </c>
    </row>
    <row r="15" spans="1:3" x14ac:dyDescent="0.25">
      <c r="A15" s="2" t="s">
        <v>7</v>
      </c>
      <c r="B15" s="3">
        <v>186</v>
      </c>
      <c r="C15" s="3">
        <v>25</v>
      </c>
    </row>
    <row r="16" spans="1:3" x14ac:dyDescent="0.25">
      <c r="A16" s="2" t="s">
        <v>8</v>
      </c>
      <c r="B16" s="3">
        <v>186</v>
      </c>
      <c r="C16" s="3">
        <v>50</v>
      </c>
    </row>
    <row r="17" spans="1:3" x14ac:dyDescent="0.25">
      <c r="A17" s="2" t="s">
        <v>9</v>
      </c>
      <c r="B17" s="3">
        <v>186</v>
      </c>
      <c r="C17" s="3">
        <v>30</v>
      </c>
    </row>
    <row r="18" spans="1:3" x14ac:dyDescent="0.25">
      <c r="A18" s="2" t="s">
        <v>16</v>
      </c>
      <c r="B18" s="3">
        <v>558</v>
      </c>
      <c r="C18" s="3">
        <v>105</v>
      </c>
    </row>
    <row r="23" spans="1:3" x14ac:dyDescent="0.25">
      <c r="A23" s="1" t="s">
        <v>15</v>
      </c>
      <c r="B23" t="s">
        <v>21</v>
      </c>
    </row>
    <row r="24" spans="1:3" x14ac:dyDescent="0.25">
      <c r="A24" s="2" t="s">
        <v>30</v>
      </c>
      <c r="B24" s="3">
        <v>396.5</v>
      </c>
    </row>
    <row r="25" spans="1:3" x14ac:dyDescent="0.25">
      <c r="A25" s="2" t="s">
        <v>31</v>
      </c>
      <c r="B25" s="3">
        <v>477.5</v>
      </c>
    </row>
    <row r="26" spans="1:3" x14ac:dyDescent="0.25">
      <c r="A26" s="2" t="s">
        <v>32</v>
      </c>
      <c r="B26" s="3">
        <v>493</v>
      </c>
    </row>
    <row r="27" spans="1:3" x14ac:dyDescent="0.25">
      <c r="A27" s="2" t="s">
        <v>33</v>
      </c>
      <c r="B27" s="3">
        <v>420</v>
      </c>
    </row>
    <row r="28" spans="1:3" x14ac:dyDescent="0.25">
      <c r="A28" s="2" t="s">
        <v>35</v>
      </c>
      <c r="B28" s="3">
        <v>166</v>
      </c>
    </row>
    <row r="29" spans="1:3" x14ac:dyDescent="0.25">
      <c r="A29" s="2" t="s">
        <v>16</v>
      </c>
      <c r="B29" s="3">
        <v>1953</v>
      </c>
    </row>
    <row r="33" spans="1:2" x14ac:dyDescent="0.25">
      <c r="A33" s="1" t="s">
        <v>15</v>
      </c>
      <c r="B33" t="s">
        <v>21</v>
      </c>
    </row>
    <row r="34" spans="1:2" x14ac:dyDescent="0.25">
      <c r="A34" s="2" t="s">
        <v>25</v>
      </c>
      <c r="B34" s="3">
        <v>325</v>
      </c>
    </row>
    <row r="35" spans="1:2" x14ac:dyDescent="0.25">
      <c r="A35" s="2" t="s">
        <v>26</v>
      </c>
      <c r="B35" s="3">
        <v>234.5</v>
      </c>
    </row>
    <row r="36" spans="1:2" x14ac:dyDescent="0.25">
      <c r="A36" s="2" t="s">
        <v>27</v>
      </c>
      <c r="B36" s="3">
        <v>230</v>
      </c>
    </row>
    <row r="37" spans="1:2" x14ac:dyDescent="0.25">
      <c r="A37" s="2" t="s">
        <v>28</v>
      </c>
      <c r="B37" s="3">
        <v>291.5</v>
      </c>
    </row>
    <row r="38" spans="1:2" x14ac:dyDescent="0.25">
      <c r="A38" s="2" t="s">
        <v>29</v>
      </c>
      <c r="B38" s="3">
        <v>295</v>
      </c>
    </row>
    <row r="39" spans="1:2" x14ac:dyDescent="0.25">
      <c r="A39" s="2" t="s">
        <v>24</v>
      </c>
      <c r="B39" s="3">
        <v>281</v>
      </c>
    </row>
    <row r="40" spans="1:2" x14ac:dyDescent="0.25">
      <c r="A40" s="2" t="s">
        <v>22</v>
      </c>
      <c r="B40" s="3">
        <v>296</v>
      </c>
    </row>
    <row r="41" spans="1:2" x14ac:dyDescent="0.25">
      <c r="A41" s="2" t="s">
        <v>16</v>
      </c>
      <c r="B41" s="3">
        <v>1953</v>
      </c>
    </row>
    <row r="44" spans="1:2" x14ac:dyDescent="0.25">
      <c r="A44" s="1" t="s">
        <v>15</v>
      </c>
      <c r="B44" t="s">
        <v>34</v>
      </c>
    </row>
    <row r="45" spans="1:2" x14ac:dyDescent="0.25">
      <c r="A45" s="2" t="s">
        <v>7</v>
      </c>
      <c r="B45" s="3">
        <v>46.5</v>
      </c>
    </row>
    <row r="46" spans="1:2" x14ac:dyDescent="0.25">
      <c r="A46" s="2" t="s">
        <v>8</v>
      </c>
      <c r="B46" s="3">
        <v>93</v>
      </c>
    </row>
    <row r="47" spans="1:2" x14ac:dyDescent="0.25">
      <c r="A47" s="2" t="s">
        <v>9</v>
      </c>
      <c r="B47" s="3">
        <v>55.8</v>
      </c>
    </row>
    <row r="48" spans="1:2" x14ac:dyDescent="0.25">
      <c r="A48" s="2" t="s">
        <v>16</v>
      </c>
      <c r="B48" s="3">
        <v>65.099999999999994</v>
      </c>
    </row>
    <row r="52" spans="1:2" x14ac:dyDescent="0.25">
      <c r="A52" s="1" t="s">
        <v>15</v>
      </c>
      <c r="B52" t="s">
        <v>21</v>
      </c>
    </row>
    <row r="53" spans="1:2" x14ac:dyDescent="0.25">
      <c r="A53" s="2" t="s">
        <v>11</v>
      </c>
      <c r="B53" s="3">
        <v>930</v>
      </c>
    </row>
    <row r="54" spans="1:2" x14ac:dyDescent="0.25">
      <c r="A54" s="2" t="s">
        <v>10</v>
      </c>
      <c r="B54" s="3">
        <v>465</v>
      </c>
    </row>
    <row r="55" spans="1:2" x14ac:dyDescent="0.25">
      <c r="A55" s="2" t="s">
        <v>12</v>
      </c>
      <c r="B55" s="3">
        <v>558</v>
      </c>
    </row>
    <row r="56" spans="1:2" x14ac:dyDescent="0.25">
      <c r="A56" s="2" t="s">
        <v>16</v>
      </c>
      <c r="B56" s="3">
        <v>1953</v>
      </c>
    </row>
    <row r="60" spans="1:2" x14ac:dyDescent="0.25">
      <c r="A60" s="1" t="s">
        <v>15</v>
      </c>
      <c r="B60" t="s">
        <v>21</v>
      </c>
    </row>
    <row r="61" spans="1:2" x14ac:dyDescent="0.25">
      <c r="A61" s="2" t="s">
        <v>13</v>
      </c>
      <c r="B61" s="3">
        <v>465</v>
      </c>
    </row>
    <row r="62" spans="1:2" x14ac:dyDescent="0.25">
      <c r="A62" s="2" t="s">
        <v>14</v>
      </c>
      <c r="B62" s="3">
        <v>1488</v>
      </c>
    </row>
    <row r="63" spans="1:2" x14ac:dyDescent="0.25">
      <c r="A63" s="2" t="s">
        <v>16</v>
      </c>
      <c r="B63" s="3">
        <v>1953</v>
      </c>
    </row>
    <row r="66" spans="1:4" x14ac:dyDescent="0.25">
      <c r="A66" s="1" t="s">
        <v>18</v>
      </c>
      <c r="B66" s="1" t="s">
        <v>20</v>
      </c>
    </row>
    <row r="67" spans="1:4" x14ac:dyDescent="0.25">
      <c r="A67" s="1" t="s">
        <v>15</v>
      </c>
      <c r="B67" t="s">
        <v>13</v>
      </c>
      <c r="C67" t="s">
        <v>14</v>
      </c>
      <c r="D67" t="s">
        <v>16</v>
      </c>
    </row>
    <row r="68" spans="1:4" x14ac:dyDescent="0.25">
      <c r="A68" s="2" t="s">
        <v>7</v>
      </c>
      <c r="B68" s="3">
        <v>186</v>
      </c>
      <c r="C68" s="3"/>
      <c r="D68" s="3">
        <v>186</v>
      </c>
    </row>
    <row r="69" spans="1:4" x14ac:dyDescent="0.25">
      <c r="A69" s="2" t="s">
        <v>8</v>
      </c>
      <c r="B69" s="3"/>
      <c r="C69" s="3">
        <v>186</v>
      </c>
      <c r="D69" s="3">
        <v>186</v>
      </c>
    </row>
    <row r="70" spans="1:4" x14ac:dyDescent="0.25">
      <c r="A70" s="2" t="s">
        <v>9</v>
      </c>
      <c r="B70" s="3"/>
      <c r="C70" s="3">
        <v>186</v>
      </c>
      <c r="D70" s="3">
        <v>186</v>
      </c>
    </row>
    <row r="71" spans="1:4" x14ac:dyDescent="0.25">
      <c r="A71" s="2" t="s">
        <v>16</v>
      </c>
      <c r="B71" s="3">
        <v>186</v>
      </c>
      <c r="C71" s="3">
        <v>372</v>
      </c>
      <c r="D71" s="3">
        <v>558</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topLeftCell="A7" zoomScaleNormal="100" workbookViewId="0">
      <selection activeCell="B8" sqref="B8"/>
    </sheetView>
  </sheetViews>
  <sheetFormatPr defaultRowHeight="15" x14ac:dyDescent="0.25"/>
  <cols>
    <col min="1" max="2" width="28" style="5" customWidth="1"/>
    <col min="3" max="3" width="28" style="6" customWidth="1"/>
    <col min="4" max="4" width="19.7109375" style="4" customWidth="1"/>
    <col min="5" max="5" width="17" style="4" customWidth="1"/>
    <col min="6" max="6" width="14" style="4" customWidth="1"/>
    <col min="7" max="7" width="21.28515625" style="4" customWidth="1"/>
    <col min="8" max="8" width="19.42578125" style="4" customWidth="1"/>
    <col min="9" max="9" width="15.28515625" style="4" customWidth="1"/>
    <col min="10" max="11" width="9.140625" style="4"/>
    <col min="12" max="12" width="11" style="4" customWidth="1"/>
    <col min="13" max="16384" width="9.140625" style="4"/>
  </cols>
  <sheetData>
    <row r="1" spans="1:9" x14ac:dyDescent="0.25">
      <c r="A1" s="7" t="s">
        <v>0</v>
      </c>
      <c r="B1" s="8" t="s">
        <v>23</v>
      </c>
      <c r="C1" s="8" t="s">
        <v>19</v>
      </c>
      <c r="D1" s="9" t="s">
        <v>1</v>
      </c>
      <c r="E1" s="9" t="s">
        <v>2</v>
      </c>
      <c r="F1" s="9" t="s">
        <v>3</v>
      </c>
      <c r="G1" s="9" t="s">
        <v>4</v>
      </c>
      <c r="H1" s="9" t="s">
        <v>5</v>
      </c>
      <c r="I1" s="9" t="s">
        <v>6</v>
      </c>
    </row>
    <row r="2" spans="1:9" x14ac:dyDescent="0.25">
      <c r="A2" s="5">
        <v>45717</v>
      </c>
      <c r="B2" s="6" t="str">
        <f>"W"&amp;ROUNDUP(DAY(A2)/7,0)</f>
        <v>W1</v>
      </c>
      <c r="C2" s="6" t="s">
        <v>24</v>
      </c>
      <c r="D2" s="4" t="s">
        <v>7</v>
      </c>
      <c r="E2" s="4">
        <v>20</v>
      </c>
      <c r="F2" s="4">
        <v>2.5</v>
      </c>
      <c r="G2" s="4" t="s">
        <v>10</v>
      </c>
      <c r="H2" s="4" t="s">
        <v>13</v>
      </c>
      <c r="I2" s="4">
        <v>50</v>
      </c>
    </row>
    <row r="3" spans="1:9" x14ac:dyDescent="0.25">
      <c r="A3" s="5">
        <v>45718</v>
      </c>
      <c r="B3" s="6" t="str">
        <f t="shared" ref="B3:B31" si="0">"W"&amp;ROUNDUP(DAY(A3)/7,0)</f>
        <v>W1</v>
      </c>
      <c r="C3" s="6" t="str">
        <f t="shared" ref="C3:C31" si="1">TEXT(A3, "dddd")</f>
        <v>Sunday</v>
      </c>
      <c r="D3" s="4" t="s">
        <v>8</v>
      </c>
      <c r="E3" s="4">
        <v>10</v>
      </c>
      <c r="F3" s="4">
        <v>5</v>
      </c>
      <c r="G3" s="4" t="s">
        <v>11</v>
      </c>
      <c r="H3" s="4" t="s">
        <v>14</v>
      </c>
      <c r="I3" s="4">
        <v>50</v>
      </c>
    </row>
    <row r="4" spans="1:9" x14ac:dyDescent="0.25">
      <c r="A4" s="5">
        <v>45719</v>
      </c>
      <c r="B4" s="6" t="str">
        <f t="shared" si="0"/>
        <v>W1</v>
      </c>
      <c r="C4" s="6" t="str">
        <f t="shared" si="1"/>
        <v>Monday</v>
      </c>
      <c r="D4" s="4" t="s">
        <v>9</v>
      </c>
      <c r="E4" s="4">
        <v>15</v>
      </c>
      <c r="F4" s="4">
        <v>3</v>
      </c>
      <c r="G4" s="4" t="s">
        <v>12</v>
      </c>
      <c r="H4" s="4" t="s">
        <v>14</v>
      </c>
      <c r="I4" s="4">
        <v>45</v>
      </c>
    </row>
    <row r="5" spans="1:9" x14ac:dyDescent="0.25">
      <c r="A5" s="5">
        <v>45720</v>
      </c>
      <c r="B5" s="6" t="str">
        <f t="shared" si="0"/>
        <v>W1</v>
      </c>
      <c r="C5" s="6" t="str">
        <f t="shared" si="1"/>
        <v>Tuesday</v>
      </c>
      <c r="D5" s="4" t="s">
        <v>7</v>
      </c>
      <c r="E5" s="4">
        <v>25</v>
      </c>
      <c r="F5" s="4">
        <v>2.5</v>
      </c>
      <c r="G5" s="4" t="s">
        <v>10</v>
      </c>
      <c r="H5" s="4" t="s">
        <v>13</v>
      </c>
      <c r="I5" s="4">
        <v>62.5</v>
      </c>
    </row>
    <row r="6" spans="1:9" x14ac:dyDescent="0.25">
      <c r="A6" s="5">
        <v>45721</v>
      </c>
      <c r="B6" s="6" t="str">
        <f t="shared" si="0"/>
        <v>W1</v>
      </c>
      <c r="C6" s="6" t="str">
        <f t="shared" si="1"/>
        <v>Wednesday</v>
      </c>
      <c r="D6" s="4" t="s">
        <v>8</v>
      </c>
      <c r="E6" s="4">
        <v>12</v>
      </c>
      <c r="F6" s="4">
        <v>5</v>
      </c>
      <c r="G6" s="4" t="s">
        <v>11</v>
      </c>
      <c r="H6" s="4" t="s">
        <v>14</v>
      </c>
      <c r="I6" s="4">
        <v>60</v>
      </c>
    </row>
    <row r="7" spans="1:9" x14ac:dyDescent="0.25">
      <c r="A7" s="5">
        <v>45722</v>
      </c>
      <c r="B7" s="6" t="str">
        <f t="shared" si="0"/>
        <v>W1</v>
      </c>
      <c r="C7" s="6" t="str">
        <f t="shared" si="1"/>
        <v>Thursday</v>
      </c>
      <c r="D7" s="4" t="s">
        <v>9</v>
      </c>
      <c r="E7" s="4">
        <v>18</v>
      </c>
      <c r="F7" s="4">
        <v>3</v>
      </c>
      <c r="G7" s="4" t="s">
        <v>12</v>
      </c>
      <c r="H7" s="4" t="s">
        <v>14</v>
      </c>
      <c r="I7" s="4">
        <v>54</v>
      </c>
    </row>
    <row r="8" spans="1:9" x14ac:dyDescent="0.25">
      <c r="A8" s="5">
        <v>45723</v>
      </c>
      <c r="B8" s="6" t="str">
        <f t="shared" si="0"/>
        <v>W1</v>
      </c>
      <c r="C8" s="6" t="str">
        <f t="shared" si="1"/>
        <v>Friday</v>
      </c>
      <c r="D8" s="4" t="s">
        <v>7</v>
      </c>
      <c r="E8" s="4">
        <v>30</v>
      </c>
      <c r="F8" s="4">
        <v>2.5</v>
      </c>
      <c r="G8" s="4" t="s">
        <v>10</v>
      </c>
      <c r="H8" s="4" t="s">
        <v>13</v>
      </c>
      <c r="I8" s="4">
        <v>75</v>
      </c>
    </row>
    <row r="9" spans="1:9" x14ac:dyDescent="0.25">
      <c r="A9" s="5">
        <v>45724</v>
      </c>
      <c r="B9" s="6" t="str">
        <f t="shared" si="0"/>
        <v>W2</v>
      </c>
      <c r="C9" s="6" t="str">
        <f t="shared" si="1"/>
        <v>Saturday</v>
      </c>
      <c r="D9" s="4" t="s">
        <v>8</v>
      </c>
      <c r="E9" s="4">
        <v>14</v>
      </c>
      <c r="F9" s="4">
        <v>5</v>
      </c>
      <c r="G9" s="4" t="s">
        <v>11</v>
      </c>
      <c r="H9" s="4" t="s">
        <v>14</v>
      </c>
      <c r="I9" s="4">
        <v>70</v>
      </c>
    </row>
    <row r="10" spans="1:9" x14ac:dyDescent="0.25">
      <c r="A10" s="5">
        <v>45725</v>
      </c>
      <c r="B10" s="6" t="str">
        <f t="shared" si="0"/>
        <v>W2</v>
      </c>
      <c r="C10" s="6" t="str">
        <f t="shared" si="1"/>
        <v>Sunday</v>
      </c>
      <c r="D10" s="4" t="s">
        <v>9</v>
      </c>
      <c r="E10" s="4">
        <v>20</v>
      </c>
      <c r="F10" s="4">
        <v>3</v>
      </c>
      <c r="G10" s="4" t="s">
        <v>12</v>
      </c>
      <c r="H10" s="4" t="s">
        <v>14</v>
      </c>
      <c r="I10" s="4">
        <v>60</v>
      </c>
    </row>
    <row r="11" spans="1:9" x14ac:dyDescent="0.25">
      <c r="A11" s="5">
        <v>45726</v>
      </c>
      <c r="B11" s="6" t="str">
        <f t="shared" si="0"/>
        <v>W2</v>
      </c>
      <c r="C11" s="6" t="str">
        <f t="shared" si="1"/>
        <v>Monday</v>
      </c>
      <c r="D11" s="4" t="s">
        <v>7</v>
      </c>
      <c r="E11" s="4">
        <v>22</v>
      </c>
      <c r="F11" s="4">
        <v>2.5</v>
      </c>
      <c r="G11" s="4" t="s">
        <v>10</v>
      </c>
      <c r="H11" s="4" t="s">
        <v>13</v>
      </c>
      <c r="I11" s="4">
        <v>55</v>
      </c>
    </row>
    <row r="12" spans="1:9" x14ac:dyDescent="0.25">
      <c r="A12" s="5">
        <v>45727</v>
      </c>
      <c r="B12" s="6" t="str">
        <f t="shared" si="0"/>
        <v>W2</v>
      </c>
      <c r="C12" s="6" t="str">
        <f t="shared" si="1"/>
        <v>Tuesday</v>
      </c>
      <c r="D12" s="4" t="s">
        <v>8</v>
      </c>
      <c r="E12" s="4">
        <v>20</v>
      </c>
      <c r="F12" s="4">
        <v>5</v>
      </c>
      <c r="G12" s="4" t="s">
        <v>11</v>
      </c>
      <c r="H12" s="4" t="s">
        <v>14</v>
      </c>
      <c r="I12" s="4">
        <v>100</v>
      </c>
    </row>
    <row r="13" spans="1:9" x14ac:dyDescent="0.25">
      <c r="A13" s="5">
        <v>45728</v>
      </c>
      <c r="B13" s="6" t="str">
        <f t="shared" si="0"/>
        <v>W2</v>
      </c>
      <c r="C13" s="6" t="str">
        <f t="shared" si="1"/>
        <v>Wednesday</v>
      </c>
      <c r="D13" s="4" t="s">
        <v>9</v>
      </c>
      <c r="E13" s="4">
        <v>10</v>
      </c>
      <c r="F13" s="4">
        <v>3</v>
      </c>
      <c r="G13" s="4" t="s">
        <v>12</v>
      </c>
      <c r="H13" s="4" t="s">
        <v>14</v>
      </c>
      <c r="I13" s="4">
        <v>30</v>
      </c>
    </row>
    <row r="14" spans="1:9" x14ac:dyDescent="0.25">
      <c r="A14" s="5">
        <v>45729</v>
      </c>
      <c r="B14" s="6" t="str">
        <f t="shared" si="0"/>
        <v>W2</v>
      </c>
      <c r="C14" s="6" t="str">
        <f t="shared" si="1"/>
        <v>Thursday</v>
      </c>
      <c r="D14" s="4" t="s">
        <v>7</v>
      </c>
      <c r="E14" s="4">
        <v>15</v>
      </c>
      <c r="F14" s="4">
        <v>2.5</v>
      </c>
      <c r="G14" s="4" t="s">
        <v>10</v>
      </c>
      <c r="H14" s="4" t="s">
        <v>13</v>
      </c>
      <c r="I14" s="4">
        <v>37.5</v>
      </c>
    </row>
    <row r="15" spans="1:9" x14ac:dyDescent="0.25">
      <c r="A15" s="5">
        <v>45730</v>
      </c>
      <c r="B15" s="6" t="str">
        <f t="shared" si="0"/>
        <v>W2</v>
      </c>
      <c r="C15" s="6" t="str">
        <f t="shared" si="1"/>
        <v>Friday</v>
      </c>
      <c r="D15" s="4" t="s">
        <v>8</v>
      </c>
      <c r="E15" s="4">
        <v>25</v>
      </c>
      <c r="F15" s="4">
        <v>5</v>
      </c>
      <c r="G15" s="4" t="s">
        <v>11</v>
      </c>
      <c r="H15" s="4" t="s">
        <v>14</v>
      </c>
      <c r="I15" s="4">
        <v>125</v>
      </c>
    </row>
    <row r="16" spans="1:9" x14ac:dyDescent="0.25">
      <c r="A16" s="5">
        <v>45731</v>
      </c>
      <c r="B16" s="6" t="str">
        <f t="shared" si="0"/>
        <v>W3</v>
      </c>
      <c r="C16" s="6" t="str">
        <f t="shared" si="1"/>
        <v>Saturday</v>
      </c>
      <c r="D16" s="4" t="s">
        <v>9</v>
      </c>
      <c r="E16" s="4">
        <v>12</v>
      </c>
      <c r="F16" s="4">
        <v>3</v>
      </c>
      <c r="G16" s="4" t="s">
        <v>12</v>
      </c>
      <c r="H16" s="4" t="s">
        <v>14</v>
      </c>
      <c r="I16" s="4">
        <v>36</v>
      </c>
    </row>
    <row r="17" spans="1:9" x14ac:dyDescent="0.25">
      <c r="A17" s="5">
        <v>45732</v>
      </c>
      <c r="B17" s="6" t="str">
        <f t="shared" si="0"/>
        <v>W3</v>
      </c>
      <c r="C17" s="6" t="str">
        <f t="shared" si="1"/>
        <v>Sunday</v>
      </c>
      <c r="D17" s="4" t="s">
        <v>7</v>
      </c>
      <c r="E17" s="4">
        <v>18</v>
      </c>
      <c r="F17" s="4">
        <v>2.5</v>
      </c>
      <c r="G17" s="4" t="s">
        <v>10</v>
      </c>
      <c r="H17" s="4" t="s">
        <v>13</v>
      </c>
      <c r="I17" s="4">
        <v>45</v>
      </c>
    </row>
    <row r="18" spans="1:9" x14ac:dyDescent="0.25">
      <c r="A18" s="5">
        <v>45733</v>
      </c>
      <c r="B18" s="6" t="str">
        <f t="shared" si="0"/>
        <v>W3</v>
      </c>
      <c r="C18" s="6" t="str">
        <f t="shared" si="1"/>
        <v>Monday</v>
      </c>
      <c r="D18" s="4" t="s">
        <v>8</v>
      </c>
      <c r="E18" s="4">
        <v>30</v>
      </c>
      <c r="F18" s="4">
        <v>5</v>
      </c>
      <c r="G18" s="4" t="s">
        <v>11</v>
      </c>
      <c r="H18" s="4" t="s">
        <v>14</v>
      </c>
      <c r="I18" s="4">
        <v>150</v>
      </c>
    </row>
    <row r="19" spans="1:9" x14ac:dyDescent="0.25">
      <c r="A19" s="5">
        <v>45734</v>
      </c>
      <c r="B19" s="6" t="str">
        <f t="shared" si="0"/>
        <v>W3</v>
      </c>
      <c r="C19" s="6" t="str">
        <f t="shared" si="1"/>
        <v>Tuesday</v>
      </c>
      <c r="D19" s="4" t="s">
        <v>9</v>
      </c>
      <c r="E19" s="4">
        <v>14</v>
      </c>
      <c r="F19" s="4">
        <v>3</v>
      </c>
      <c r="G19" s="4" t="s">
        <v>12</v>
      </c>
      <c r="H19" s="4" t="s">
        <v>14</v>
      </c>
      <c r="I19" s="4">
        <v>42</v>
      </c>
    </row>
    <row r="20" spans="1:9" x14ac:dyDescent="0.25">
      <c r="A20" s="5">
        <v>45735</v>
      </c>
      <c r="B20" s="6" t="str">
        <f t="shared" si="0"/>
        <v>W3</v>
      </c>
      <c r="C20" s="6" t="str">
        <f t="shared" si="1"/>
        <v>Wednesday</v>
      </c>
      <c r="D20" s="4" t="s">
        <v>7</v>
      </c>
      <c r="E20" s="4">
        <v>20</v>
      </c>
      <c r="F20" s="4">
        <v>2.5</v>
      </c>
      <c r="G20" s="4" t="s">
        <v>10</v>
      </c>
      <c r="H20" s="4" t="s">
        <v>13</v>
      </c>
      <c r="I20" s="4">
        <v>50</v>
      </c>
    </row>
    <row r="21" spans="1:9" x14ac:dyDescent="0.25">
      <c r="A21" s="5">
        <v>45736</v>
      </c>
      <c r="B21" s="6" t="str">
        <f t="shared" si="0"/>
        <v>W3</v>
      </c>
      <c r="C21" s="6" t="str">
        <f t="shared" si="1"/>
        <v>Thursday</v>
      </c>
      <c r="D21" s="4" t="s">
        <v>8</v>
      </c>
      <c r="E21" s="4">
        <v>22</v>
      </c>
      <c r="F21" s="4">
        <v>5</v>
      </c>
      <c r="G21" s="4" t="s">
        <v>11</v>
      </c>
      <c r="H21" s="4" t="s">
        <v>14</v>
      </c>
      <c r="I21" s="4">
        <v>110</v>
      </c>
    </row>
    <row r="22" spans="1:9" x14ac:dyDescent="0.25">
      <c r="A22" s="5">
        <v>45737</v>
      </c>
      <c r="B22" s="6" t="str">
        <f t="shared" si="0"/>
        <v>W3</v>
      </c>
      <c r="C22" s="6" t="str">
        <f t="shared" si="1"/>
        <v>Friday</v>
      </c>
      <c r="D22" s="4" t="s">
        <v>9</v>
      </c>
      <c r="E22" s="4">
        <v>20</v>
      </c>
      <c r="F22" s="4">
        <v>3</v>
      </c>
      <c r="G22" s="4" t="s">
        <v>12</v>
      </c>
      <c r="H22" s="4" t="s">
        <v>14</v>
      </c>
      <c r="I22" s="4">
        <v>60</v>
      </c>
    </row>
    <row r="23" spans="1:9" x14ac:dyDescent="0.25">
      <c r="A23" s="5">
        <v>45738</v>
      </c>
      <c r="B23" s="6" t="str">
        <f t="shared" si="0"/>
        <v>W4</v>
      </c>
      <c r="C23" s="6" t="str">
        <f t="shared" si="1"/>
        <v>Saturday</v>
      </c>
      <c r="D23" s="4" t="s">
        <v>7</v>
      </c>
      <c r="E23" s="4">
        <v>10</v>
      </c>
      <c r="F23" s="4">
        <v>2.5</v>
      </c>
      <c r="G23" s="4" t="s">
        <v>10</v>
      </c>
      <c r="H23" s="4" t="s">
        <v>13</v>
      </c>
      <c r="I23" s="4">
        <v>25</v>
      </c>
    </row>
    <row r="24" spans="1:9" x14ac:dyDescent="0.25">
      <c r="A24" s="5">
        <v>45739</v>
      </c>
      <c r="B24" s="6" t="str">
        <f t="shared" si="0"/>
        <v>W4</v>
      </c>
      <c r="C24" s="6" t="str">
        <f t="shared" si="1"/>
        <v>Sunday</v>
      </c>
      <c r="D24" s="4" t="s">
        <v>8</v>
      </c>
      <c r="E24" s="4">
        <v>15</v>
      </c>
      <c r="F24" s="4">
        <v>5</v>
      </c>
      <c r="G24" s="4" t="s">
        <v>11</v>
      </c>
      <c r="H24" s="4" t="s">
        <v>14</v>
      </c>
      <c r="I24" s="4">
        <v>75</v>
      </c>
    </row>
    <row r="25" spans="1:9" x14ac:dyDescent="0.25">
      <c r="A25" s="5">
        <v>45740</v>
      </c>
      <c r="B25" s="6" t="str">
        <f t="shared" si="0"/>
        <v>W4</v>
      </c>
      <c r="C25" s="6" t="str">
        <f t="shared" si="1"/>
        <v>Monday</v>
      </c>
      <c r="D25" s="4" t="s">
        <v>9</v>
      </c>
      <c r="E25" s="4">
        <v>25</v>
      </c>
      <c r="F25" s="4">
        <v>3</v>
      </c>
      <c r="G25" s="4" t="s">
        <v>12</v>
      </c>
      <c r="H25" s="4" t="s">
        <v>14</v>
      </c>
      <c r="I25" s="4">
        <v>75</v>
      </c>
    </row>
    <row r="26" spans="1:9" x14ac:dyDescent="0.25">
      <c r="A26" s="5">
        <v>45741</v>
      </c>
      <c r="B26" s="6" t="str">
        <f t="shared" si="0"/>
        <v>W4</v>
      </c>
      <c r="C26" s="6" t="str">
        <f t="shared" si="1"/>
        <v>Tuesday</v>
      </c>
      <c r="D26" s="4" t="s">
        <v>7</v>
      </c>
      <c r="E26" s="4">
        <v>12</v>
      </c>
      <c r="F26" s="4">
        <v>2.5</v>
      </c>
      <c r="G26" s="4" t="s">
        <v>10</v>
      </c>
      <c r="H26" s="4" t="s">
        <v>13</v>
      </c>
      <c r="I26" s="4">
        <v>30</v>
      </c>
    </row>
    <row r="27" spans="1:9" x14ac:dyDescent="0.25">
      <c r="A27" s="5">
        <v>45742</v>
      </c>
      <c r="B27" s="6" t="str">
        <f t="shared" si="0"/>
        <v>W4</v>
      </c>
      <c r="C27" s="6" t="str">
        <f t="shared" si="1"/>
        <v>Wednesday</v>
      </c>
      <c r="D27" s="4" t="s">
        <v>8</v>
      </c>
      <c r="E27" s="4">
        <v>18</v>
      </c>
      <c r="F27" s="4">
        <v>5</v>
      </c>
      <c r="G27" s="4" t="s">
        <v>11</v>
      </c>
      <c r="H27" s="4" t="s">
        <v>14</v>
      </c>
      <c r="I27" s="4">
        <v>90</v>
      </c>
    </row>
    <row r="28" spans="1:9" x14ac:dyDescent="0.25">
      <c r="A28" s="5">
        <v>45743</v>
      </c>
      <c r="B28" s="6" t="str">
        <f t="shared" si="0"/>
        <v>W4</v>
      </c>
      <c r="C28" s="6" t="str">
        <f t="shared" si="1"/>
        <v>Thursday</v>
      </c>
      <c r="D28" s="4" t="s">
        <v>9</v>
      </c>
      <c r="E28" s="4">
        <v>30</v>
      </c>
      <c r="F28" s="4">
        <v>3</v>
      </c>
      <c r="G28" s="4" t="s">
        <v>12</v>
      </c>
      <c r="H28" s="4" t="s">
        <v>14</v>
      </c>
      <c r="I28" s="4">
        <v>90</v>
      </c>
    </row>
    <row r="29" spans="1:9" x14ac:dyDescent="0.25">
      <c r="A29" s="5">
        <v>45744</v>
      </c>
      <c r="B29" s="6" t="str">
        <f t="shared" si="0"/>
        <v>W4</v>
      </c>
      <c r="C29" s="6" t="str">
        <f t="shared" si="1"/>
        <v>Friday</v>
      </c>
      <c r="D29" s="4" t="s">
        <v>7</v>
      </c>
      <c r="E29" s="4">
        <v>14</v>
      </c>
      <c r="F29" s="4">
        <v>2.5</v>
      </c>
      <c r="G29" s="4" t="s">
        <v>10</v>
      </c>
      <c r="H29" s="4" t="s">
        <v>13</v>
      </c>
      <c r="I29" s="4">
        <v>35</v>
      </c>
    </row>
    <row r="30" spans="1:9" x14ac:dyDescent="0.25">
      <c r="A30" s="5">
        <v>45745</v>
      </c>
      <c r="B30" s="6" t="str">
        <f t="shared" si="0"/>
        <v>W5</v>
      </c>
      <c r="C30" s="6" t="str">
        <f t="shared" si="1"/>
        <v>Saturday</v>
      </c>
      <c r="D30" s="4" t="s">
        <v>8</v>
      </c>
      <c r="E30" s="4">
        <v>20</v>
      </c>
      <c r="F30" s="4">
        <v>5</v>
      </c>
      <c r="G30" s="4" t="s">
        <v>11</v>
      </c>
      <c r="H30" s="4" t="s">
        <v>14</v>
      </c>
      <c r="I30" s="4">
        <v>100</v>
      </c>
    </row>
    <row r="31" spans="1:9" x14ac:dyDescent="0.25">
      <c r="A31" s="5">
        <v>45746</v>
      </c>
      <c r="B31" s="6" t="str">
        <f t="shared" si="0"/>
        <v>W5</v>
      </c>
      <c r="C31" s="6" t="str">
        <f t="shared" si="1"/>
        <v>Sunday</v>
      </c>
      <c r="D31" s="4" t="s">
        <v>9</v>
      </c>
      <c r="E31" s="4">
        <v>22</v>
      </c>
      <c r="F31" s="4">
        <v>3</v>
      </c>
      <c r="G31" s="4" t="s">
        <v>12</v>
      </c>
      <c r="H31" s="4" t="s">
        <v>14</v>
      </c>
      <c r="I31" s="4">
        <v>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BAKERY 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Peace</dc:creator>
  <cp:lastModifiedBy>Kayode Peace</cp:lastModifiedBy>
  <dcterms:created xsi:type="dcterms:W3CDTF">2025-04-14T22:25:07Z</dcterms:created>
  <dcterms:modified xsi:type="dcterms:W3CDTF">2026-05-19T13:59:19Z</dcterms:modified>
</cp:coreProperties>
</file>